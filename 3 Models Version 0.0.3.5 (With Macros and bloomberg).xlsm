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trlProps/ctrlProp16.xml" ContentType="application/vnd.ms-excel.controlproperties+xml"/>
  <Override PartName="/xl/drawings/drawing4.xml" ContentType="application/vnd.openxmlformats-officedocument.drawing+xml"/>
  <Override PartName="/xl/ctrlProps/ctrlProp17.xml" ContentType="application/vnd.ms-excel.controlproperties+xml"/>
  <Override PartName="/xl/drawings/drawing5.xml" ContentType="application/vnd.openxmlformats-officedocument.drawing+xml"/>
  <Override PartName="/xl/ctrlProps/ctrlProp18.xml" ContentType="application/vnd.ms-excel.controlproperties+xml"/>
  <Override PartName="/xl/ctrlProps/ctrlProp19.xml" ContentType="application/vnd.ms-excel.controlproperties+xml"/>
  <Override PartName="/xl/drawings/drawing6.xml" ContentType="application/vnd.openxmlformats-officedocument.drawing+xml"/>
  <Override PartName="/xl/ctrlProps/ctrlProp20.xml" ContentType="application/vnd.ms-excel.controlproperties+xml"/>
  <Override PartName="/xl/drawings/drawing7.xml" ContentType="application/vnd.openxmlformats-officedocument.drawing+xml"/>
  <Override PartName="/xl/ctrlProps/ctrlProp21.xml" ContentType="application/vnd.ms-excel.controlproperties+xml"/>
  <Override PartName="/xl/drawings/drawing8.xml" ContentType="application/vnd.openxmlformats-officedocument.drawing+xml"/>
  <Override PartName="/xl/ctrlProps/ctrlProp22.xml" ContentType="application/vnd.ms-excel.controlproperties+xml"/>
  <Override PartName="/xl/drawings/drawing9.xml" ContentType="application/vnd.openxmlformats-officedocument.drawing+xml"/>
  <Override PartName="/xl/ctrlProps/ctrlProp23.xml" ContentType="application/vnd.ms-excel.controlproperties+xml"/>
  <Override PartName="/xl/drawings/drawing10.xml" ContentType="application/vnd.openxmlformats-officedocument.drawing+xml"/>
  <Override PartName="/xl/ctrlProps/ctrlProp24.xml" ContentType="application/vnd.ms-excel.controlproperties+xml"/>
  <Override PartName="/xl/drawings/drawing11.xml" ContentType="application/vnd.openxmlformats-officedocument.drawing+xml"/>
  <Override PartName="/xl/ctrlProps/ctrlProp25.xml" ContentType="application/vnd.ms-excel.controlproperties+xml"/>
  <Override PartName="/xl/drawings/drawing12.xml" ContentType="application/vnd.openxmlformats-officedocument.drawing+xml"/>
  <Override PartName="/xl/ctrlProps/ctrlProp26.xml" ContentType="application/vnd.ms-excel.controlproperties+xml"/>
  <Override PartName="/xl/comments1.xml" ContentType="application/vnd.openxmlformats-officedocument.spreadsheetml.comments+xml"/>
  <Override PartName="/xl/drawings/drawing13.xml" ContentType="application/vnd.openxmlformats-officedocument.drawing+xml"/>
  <Override PartName="/xl/ctrlProps/ctrlProp27.xml" ContentType="application/vnd.ms-excel.controlproperties+xml"/>
  <Override PartName="/xl/drawings/drawing14.xml" ContentType="application/vnd.openxmlformats-officedocument.drawing+xml"/>
  <Override PartName="/xl/ctrlProps/ctrlProp28.xml" ContentType="application/vnd.ms-excel.controlproperties+xml"/>
  <Override PartName="/xl/drawings/drawing15.xml" ContentType="application/vnd.openxmlformats-officedocument.drawing+xml"/>
  <Override PartName="/xl/ctrlProps/ctrlProp29.xml" ContentType="application/vnd.ms-excel.controlproperties+xml"/>
  <Override PartName="/xl/drawings/drawing16.xml" ContentType="application/vnd.openxmlformats-officedocument.drawing+xml"/>
  <Override PartName="/xl/ctrlProps/ctrlProp30.xml" ContentType="application/vnd.ms-excel.controlpropertie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1BF75E64-36B4-4512-B9E4-3ED0869CA821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liveconcordia-my.sharepoint.com/personal/v_magnie_live_concordia_ca/Documents/Quant club/"/>
    </mc:Choice>
  </mc:AlternateContent>
  <xr:revisionPtr revIDLastSave="2452" documentId="13_ncr:1_{725EBA07-0393-446F-AFEE-06E565EFBD81}" xr6:coauthVersionLast="47" xr6:coauthVersionMax="47" xr10:uidLastSave="{0B8507DA-C7AA-48B0-9E3A-0C43BEDD5978}"/>
  <bookViews>
    <workbookView xWindow="-120" yWindow="-120" windowWidth="29040" windowHeight="15720" tabRatio="715" firstSheet="3" activeTab="4" xr2:uid="{00000000-000D-0000-FFFF-FFFF00000000}"/>
  </bookViews>
  <sheets>
    <sheet name="Title_Sheet" sheetId="3" r:id="rId1"/>
    <sheet name="Hub" sheetId="16" r:id="rId2"/>
    <sheet name="Dashboard" sheetId="17" r:id="rId3"/>
    <sheet name="3_Main_Models ---&gt;" sheetId="22" r:id="rId4"/>
    <sheet name="DCF" sheetId="8" r:id="rId5"/>
    <sheet name="LBO" sheetId="20" r:id="rId6"/>
    <sheet name="Merger" sheetId="21" r:id="rId7"/>
    <sheet name="LBO_Extras ---&gt;" sheetId="23" r:id="rId8"/>
    <sheet name="DCF_Synergies" sheetId="18" r:id="rId9"/>
    <sheet name="Main_Components ---&gt;" sheetId="24" r:id="rId10"/>
    <sheet name="Operating_Model" sheetId="2" r:id="rId11"/>
    <sheet name="WACC_Calculator" sheetId="4" r:id="rId12"/>
    <sheet name="D&amp;A+CAPEX" sheetId="25" r:id="rId13"/>
    <sheet name="Net_Working_Capital" sheetId="14" r:id="rId14"/>
    <sheet name="Scenario_Analysis---&gt;" sheetId="5" r:id="rId15"/>
    <sheet name="SC_Manager" sheetId="6" r:id="rId16"/>
    <sheet name="Time_Series" sheetId="7" r:id="rId17"/>
    <sheet name="Buildups---&gt;" sheetId="10" r:id="rId18"/>
    <sheet name="Revenue_Build" sheetId="11" r:id="rId19"/>
    <sheet name="Tester" sheetId="26" r:id="rId20"/>
    <sheet name="Historicals" sheetId="12" r:id="rId21"/>
    <sheet name="Debt_Schedule" sheetId="13" r:id="rId22"/>
    <sheet name="Comps---&gt;" sheetId="29" r:id="rId23"/>
    <sheet name="Comp_Overview" sheetId="28" r:id="rId24"/>
    <sheet name="XLinkMeta" sheetId="27" state="veryHidden" r:id="rId25"/>
  </sheets>
  <definedNames>
    <definedName name="_bdm.67d2c89807114fc69120094f694698fb.edm" localSheetId="21" hidden="1">Debt_Schedule!$G$2</definedName>
    <definedName name="_bdm.a4e6267072534357bb87a35dcb514114.edm" localSheetId="12" hidden="1">'D&amp;A+CAPEX'!$U$15</definedName>
    <definedName name="_bdm.c52dd27bf5d64fa2bb9eeb27169a2f0e.edm" localSheetId="21" hidden="1">Debt_Schedule!$F$2</definedName>
    <definedName name="_bdm.cace756c82b640d4ae72d63bbf808e70.edm" localSheetId="4" hidden="1">DCF!$I$10</definedName>
    <definedName name="_bdm.d3367e438ccf4d688f8d0d3bf7dc3f29.edm" hidden="1">Revenue_Build!$1:$1048576</definedName>
    <definedName name="_bdm.ddf64f411911432d9810b20c5cec0c97.edm" localSheetId="18" hidden="1">Revenue_Build!$C$6</definedName>
    <definedName name="_bdm.ea3f447f8b5b4fffb0167a29dfb6d531.edm" hidden="1">'D&amp;A+CAPEX'!$1:$1048576</definedName>
    <definedName name="_bdm.f1bc8e6e7b7b49fdad98264dec8cd73c.edm" localSheetId="21" hidden="1">Debt_Schedule!$AN$10</definedName>
    <definedName name="_bdm.f6e583c23ea94846adb4b519bbd86814.edm" hidden="1">Debt_Schedule!$1:$1048576</definedName>
    <definedName name="_bdm.fa2dcd8e438b4ad287d7e387fbd894b7.edm" hidden="1">DCF!$1:$1048576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165" i="2" l="1" a="1"/>
  <c r="I165" i="2"/>
  <c r="I92" i="2" a="1"/>
  <c r="I92" i="2"/>
  <c r="I130" i="2" a="1"/>
  <c r="I130" i="2"/>
  <c r="I57" i="2" a="1"/>
  <c r="I57" i="2"/>
  <c r="I131" i="2" a="1"/>
  <c r="I131" i="2"/>
  <c r="I66" i="2" a="1"/>
  <c r="I66" i="2"/>
  <c r="I137" i="2" a="1"/>
  <c r="I137" i="2"/>
  <c r="I37" i="25" a="1"/>
  <c r="I37" i="25"/>
  <c r="I117" i="2" a="1"/>
  <c r="I117" i="2"/>
  <c r="I79" i="2" a="1"/>
  <c r="I79" i="2"/>
  <c r="I89" i="2" a="1"/>
  <c r="I89" i="2"/>
  <c r="I60" i="2" a="1"/>
  <c r="I60" i="2"/>
  <c r="I86" i="2" a="1"/>
  <c r="I86" i="2"/>
  <c r="I128" i="2" a="1"/>
  <c r="I128" i="2"/>
  <c r="I95" i="2" a="1"/>
  <c r="I95" i="2"/>
  <c r="I148" i="2" a="1"/>
  <c r="I148" i="2"/>
  <c r="I54" i="2" a="1"/>
  <c r="I54" i="2"/>
  <c r="I116" i="2" a="1"/>
  <c r="I116" i="2"/>
  <c r="I63" i="2" a="1"/>
  <c r="I63" i="2"/>
  <c r="I136" i="2" a="1"/>
  <c r="I136" i="2"/>
  <c r="I155" i="2" a="1"/>
  <c r="I155" i="2"/>
  <c r="I149" i="2" a="1"/>
  <c r="I149" i="2"/>
  <c r="I51" i="2" a="1"/>
  <c r="I51" i="2"/>
  <c r="I129" i="2" a="1"/>
  <c r="I129" i="2"/>
  <c r="I9" i="25" a="1"/>
  <c r="I9" i="25"/>
  <c r="I150" i="2" a="1"/>
  <c r="I150" i="2"/>
  <c r="I166" i="2" a="1"/>
  <c r="I166" i="2"/>
  <c r="I54" i="25" a="1"/>
  <c r="I54" i="25"/>
  <c r="I164" i="2" a="1"/>
  <c r="I164" i="2"/>
  <c r="I48" i="2" a="1"/>
  <c r="I48" i="2"/>
  <c r="I56" i="25" a="1"/>
  <c r="I56" i="25"/>
  <c r="I55" i="25" a="1"/>
  <c r="I55" i="25"/>
  <c r="AC14" i="13" a="1"/>
  <c r="AC14" i="13"/>
  <c r="H8" i="14" a="1"/>
  <c r="H8" i="14"/>
  <c r="H18" i="14" a="1"/>
  <c r="H18" i="14"/>
  <c r="AC12" i="13" a="1"/>
  <c r="AC12" i="13"/>
  <c r="H13" i="14" a="1"/>
  <c r="H13" i="14"/>
  <c r="H16" i="14" a="1"/>
  <c r="H16" i="14"/>
  <c r="H11" i="14" a="1"/>
  <c r="H11" i="14"/>
  <c r="H30" i="8" a="1"/>
  <c r="H30" i="8"/>
  <c r="AC10" i="13" a="1"/>
  <c r="AC10" i="13"/>
  <c r="H9" i="14" a="1"/>
  <c r="H9" i="14"/>
  <c r="G155" i="2" a="1"/>
  <c r="G155" i="2"/>
  <c r="G148" i="2" a="1"/>
  <c r="G148" i="2"/>
  <c r="G51" i="2" a="1"/>
  <c r="G51" i="2"/>
  <c r="G166" i="2" a="1"/>
  <c r="G166" i="2"/>
  <c r="G149" i="2" a="1"/>
  <c r="G149" i="2"/>
  <c r="G9" i="25" a="1"/>
  <c r="G9" i="25"/>
  <c r="G37" i="25" a="1"/>
  <c r="G37" i="25"/>
  <c r="G95" i="2" a="1"/>
  <c r="G95" i="2"/>
  <c r="G48" i="2" a="1"/>
  <c r="G48" i="2"/>
  <c r="G129" i="2" a="1"/>
  <c r="G129" i="2"/>
  <c r="G131" i="2" a="1"/>
  <c r="G131" i="2"/>
  <c r="G79" i="2" a="1"/>
  <c r="G79" i="2"/>
  <c r="G86" i="2" a="1"/>
  <c r="G86" i="2"/>
  <c r="G130" i="2" a="1"/>
  <c r="G130" i="2"/>
  <c r="G116" i="2" a="1"/>
  <c r="G116" i="2"/>
  <c r="G150" i="2" a="1"/>
  <c r="G150" i="2"/>
  <c r="G57" i="2" a="1"/>
  <c r="G57" i="2"/>
  <c r="G137" i="2" a="1"/>
  <c r="G137" i="2"/>
  <c r="G60" i="2" a="1"/>
  <c r="G60" i="2"/>
  <c r="G165" i="2" a="1"/>
  <c r="G165" i="2"/>
  <c r="G56" i="25" a="1"/>
  <c r="G56" i="25"/>
  <c r="G117" i="2" a="1"/>
  <c r="G117" i="2"/>
  <c r="G55" i="25" a="1"/>
  <c r="G55" i="25"/>
  <c r="G66" i="2" a="1"/>
  <c r="G66" i="2"/>
  <c r="G54" i="25" a="1"/>
  <c r="G54" i="25"/>
  <c r="G164" i="2" a="1"/>
  <c r="G164" i="2"/>
  <c r="G54" i="2" a="1"/>
  <c r="G54" i="2"/>
  <c r="G128" i="2" a="1"/>
  <c r="G128" i="2"/>
  <c r="G136" i="2" a="1"/>
  <c r="G136" i="2"/>
  <c r="G89" i="2" a="1"/>
  <c r="G89" i="2"/>
  <c r="G92" i="2" a="1"/>
  <c r="G92" i="2"/>
  <c r="G63" i="2" a="1"/>
  <c r="G63" i="2"/>
  <c r="H79" i="2" a="1"/>
  <c r="H79" i="2"/>
  <c r="H55" i="25" a="1"/>
  <c r="H55" i="25"/>
  <c r="H150" i="2" a="1"/>
  <c r="H150" i="2"/>
  <c r="H56" i="25" a="1"/>
  <c r="H56" i="25"/>
  <c r="H54" i="2" a="1"/>
  <c r="H54" i="2"/>
  <c r="H137" i="2" a="1"/>
  <c r="H137" i="2"/>
  <c r="H164" i="2" a="1"/>
  <c r="H164" i="2"/>
  <c r="H63" i="2" a="1"/>
  <c r="H63" i="2"/>
  <c r="H149" i="2" a="1"/>
  <c r="H149" i="2"/>
  <c r="H155" i="2" a="1"/>
  <c r="H155" i="2"/>
  <c r="H54" i="25" a="1"/>
  <c r="H54" i="25"/>
  <c r="H9" i="25" a="1"/>
  <c r="H9" i="25"/>
  <c r="H86" i="2" a="1"/>
  <c r="H86" i="2"/>
  <c r="H89" i="2" a="1"/>
  <c r="H89" i="2"/>
  <c r="H129" i="2" a="1"/>
  <c r="H129" i="2"/>
  <c r="H130" i="2" a="1"/>
  <c r="H130" i="2"/>
  <c r="H95" i="2" a="1"/>
  <c r="H95" i="2"/>
  <c r="H128" i="2" a="1"/>
  <c r="H128" i="2"/>
  <c r="H57" i="2" a="1"/>
  <c r="H57" i="2"/>
  <c r="H165" i="2" a="1"/>
  <c r="H165" i="2"/>
  <c r="H136" i="2" a="1"/>
  <c r="H136" i="2"/>
  <c r="H131" i="2" a="1"/>
  <c r="H131" i="2"/>
  <c r="H117" i="2" a="1"/>
  <c r="H117" i="2"/>
  <c r="H51" i="2" a="1"/>
  <c r="H51" i="2"/>
  <c r="H60" i="2" a="1"/>
  <c r="H60" i="2"/>
  <c r="H92" i="2" a="1"/>
  <c r="H92" i="2"/>
  <c r="H116" i="2" a="1"/>
  <c r="H116" i="2"/>
  <c r="H66" i="2" a="1"/>
  <c r="H66" i="2"/>
  <c r="H37" i="25" a="1"/>
  <c r="H37" i="25"/>
  <c r="H148" i="2" a="1"/>
  <c r="H148" i="2"/>
  <c r="H166" i="2" a="1"/>
  <c r="H166" i="2"/>
  <c r="H48" i="2" a="1"/>
  <c r="H48" i="2"/>
  <c r="F11" i="14" a="1"/>
  <c r="F11" i="14"/>
  <c r="F8" i="14" a="1"/>
  <c r="F8" i="14"/>
  <c r="AA10" i="13" a="1"/>
  <c r="AA10" i="13"/>
  <c r="AA12" i="13" a="1"/>
  <c r="AA12" i="13"/>
  <c r="F18" i="14" a="1"/>
  <c r="F18" i="14"/>
  <c r="F9" i="14" a="1"/>
  <c r="F9" i="14"/>
  <c r="F16" i="14" a="1"/>
  <c r="F16" i="14"/>
  <c r="F13" i="14" a="1"/>
  <c r="F13" i="14"/>
  <c r="F30" i="8" a="1"/>
  <c r="F30" i="8"/>
  <c r="AA14" i="13" a="1"/>
  <c r="AA14" i="13"/>
  <c r="AD14" i="13" a="1"/>
  <c r="AD14" i="13"/>
  <c r="I13" i="14" a="1"/>
  <c r="I13" i="14"/>
  <c r="I18" i="14" a="1"/>
  <c r="I18" i="14"/>
  <c r="I16" i="14" a="1"/>
  <c r="I16" i="14"/>
  <c r="I9" i="14" a="1"/>
  <c r="I9" i="14"/>
  <c r="I11" i="14" a="1"/>
  <c r="I11" i="14"/>
  <c r="I30" i="8" a="1"/>
  <c r="I30" i="8"/>
  <c r="I8" i="14" a="1"/>
  <c r="I8" i="14"/>
  <c r="AD10" i="13" a="1"/>
  <c r="AD10" i="13"/>
  <c r="AD12" i="13" a="1"/>
  <c r="AD12" i="13"/>
  <c r="E89" i="2" a="1"/>
  <c r="E89" i="2"/>
  <c r="E149" i="2" a="1"/>
  <c r="E149" i="2"/>
  <c r="E9" i="25" a="1"/>
  <c r="E9" i="25"/>
  <c r="E95" i="2" a="1"/>
  <c r="E95" i="2"/>
  <c r="E131" i="2" a="1"/>
  <c r="E131" i="2"/>
  <c r="E55" i="25" a="1"/>
  <c r="E55" i="25"/>
  <c r="E137" i="2" a="1"/>
  <c r="E137" i="2"/>
  <c r="E136" i="2" a="1"/>
  <c r="E136" i="2"/>
  <c r="E54" i="2" a="1"/>
  <c r="E54" i="2"/>
  <c r="E54" i="25" a="1"/>
  <c r="E54" i="25"/>
  <c r="E166" i="2" a="1"/>
  <c r="E166" i="2"/>
  <c r="E63" i="2" a="1"/>
  <c r="E63" i="2"/>
  <c r="E164" i="2" a="1"/>
  <c r="E164" i="2"/>
  <c r="E79" i="2" a="1"/>
  <c r="E79" i="2"/>
  <c r="E60" i="2" a="1"/>
  <c r="E60" i="2"/>
  <c r="E56" i="25" a="1"/>
  <c r="E56" i="25"/>
  <c r="E116" i="2" a="1"/>
  <c r="E116" i="2"/>
  <c r="E57" i="2" a="1"/>
  <c r="E57" i="2"/>
  <c r="E155" i="2" a="1"/>
  <c r="E155" i="2"/>
  <c r="E117" i="2" a="1"/>
  <c r="E117" i="2"/>
  <c r="E129" i="2" a="1"/>
  <c r="E129" i="2"/>
  <c r="E66" i="2" a="1"/>
  <c r="E66" i="2"/>
  <c r="E37" i="25" a="1"/>
  <c r="E37" i="25"/>
  <c r="E130" i="2" a="1"/>
  <c r="E130" i="2"/>
  <c r="E150" i="2" a="1"/>
  <c r="E150" i="2"/>
  <c r="E86" i="2" a="1"/>
  <c r="E86" i="2"/>
  <c r="E48" i="2" a="1"/>
  <c r="E48" i="2"/>
  <c r="E148" i="2" a="1"/>
  <c r="E148" i="2"/>
  <c r="E92" i="2" a="1"/>
  <c r="E92" i="2"/>
  <c r="E165" i="2" a="1"/>
  <c r="E165" i="2"/>
  <c r="E51" i="2" a="1"/>
  <c r="E51" i="2"/>
  <c r="E128" i="2" a="1"/>
  <c r="E128" i="2"/>
  <c r="F136" i="2" a="1"/>
  <c r="F136" i="2"/>
  <c r="F95" i="2" a="1"/>
  <c r="F95" i="2"/>
  <c r="F79" i="2" a="1"/>
  <c r="F79" i="2"/>
  <c r="F92" i="2" a="1"/>
  <c r="F92" i="2"/>
  <c r="F149" i="2" a="1"/>
  <c r="F149" i="2"/>
  <c r="F148" i="2" a="1"/>
  <c r="F148" i="2"/>
  <c r="F128" i="2" a="1"/>
  <c r="F128" i="2"/>
  <c r="F165" i="2" a="1"/>
  <c r="F165" i="2"/>
  <c r="F57" i="2" a="1"/>
  <c r="F57" i="2"/>
  <c r="F63" i="2" a="1"/>
  <c r="F63" i="2"/>
  <c r="F117" i="2" a="1"/>
  <c r="F117" i="2"/>
  <c r="F60" i="2" a="1"/>
  <c r="F60" i="2"/>
  <c r="F164" i="2" a="1"/>
  <c r="F164" i="2"/>
  <c r="F166" i="2" a="1"/>
  <c r="F166" i="2"/>
  <c r="F48" i="2" a="1"/>
  <c r="F48" i="2"/>
  <c r="F89" i="2" a="1"/>
  <c r="F89" i="2"/>
  <c r="F129" i="2" a="1"/>
  <c r="F129" i="2"/>
  <c r="F86" i="2" a="1"/>
  <c r="F86" i="2"/>
  <c r="F137" i="2" a="1"/>
  <c r="F137" i="2"/>
  <c r="F54" i="2" a="1"/>
  <c r="F54" i="2"/>
  <c r="F66" i="2" a="1"/>
  <c r="F66" i="2"/>
  <c r="F9" i="25" a="1"/>
  <c r="F9" i="25"/>
  <c r="F56" i="25" a="1"/>
  <c r="F56" i="25"/>
  <c r="F37" i="25" a="1"/>
  <c r="F37" i="25"/>
  <c r="F131" i="2" a="1"/>
  <c r="F131" i="2"/>
  <c r="F130" i="2" a="1"/>
  <c r="F130" i="2"/>
  <c r="F116" i="2" a="1"/>
  <c r="F116" i="2"/>
  <c r="F54" i="25" a="1"/>
  <c r="F54" i="25"/>
  <c r="F155" i="2" a="1"/>
  <c r="F155" i="2"/>
  <c r="F150" i="2" a="1"/>
  <c r="F150" i="2"/>
  <c r="F55" i="25" a="1"/>
  <c r="F55" i="25"/>
  <c r="F51" i="2" a="1"/>
  <c r="F51" i="2"/>
  <c r="G30" i="8" a="1"/>
  <c r="G30" i="8"/>
  <c r="AB14" i="13" a="1"/>
  <c r="AB14" i="13"/>
  <c r="G13" i="14" a="1"/>
  <c r="G13" i="14"/>
  <c r="G9" i="14" a="1"/>
  <c r="G9" i="14"/>
  <c r="AB12" i="13" a="1"/>
  <c r="AB12" i="13"/>
  <c r="G8" i="14" a="1"/>
  <c r="G8" i="14"/>
  <c r="G11" i="14" a="1"/>
  <c r="G11" i="14"/>
  <c r="G16" i="14" a="1"/>
  <c r="G16" i="14"/>
  <c r="G18" i="14" a="1"/>
  <c r="G18" i="14"/>
  <c r="AB10" i="13" a="1"/>
  <c r="AB10" i="13"/>
  <c r="E9" i="14" a="1"/>
  <c r="E9" i="14"/>
  <c r="E11" i="14" a="1"/>
  <c r="E11" i="14"/>
  <c r="Z12" i="13" a="1"/>
  <c r="Z12" i="13"/>
  <c r="E16" i="14" a="1"/>
  <c r="E16" i="14"/>
  <c r="E8" i="14" a="1"/>
  <c r="E8" i="14"/>
  <c r="Z14" i="13" a="1"/>
  <c r="Z14" i="13"/>
  <c r="Z10" i="13" a="1"/>
  <c r="Z10" i="13"/>
  <c r="E30" i="8" a="1"/>
  <c r="E30" i="8"/>
  <c r="E13" i="14" a="1"/>
  <c r="E13" i="14"/>
  <c r="E18" i="14" a="1"/>
  <c r="E18" i="14"/>
  <c r="D13" i="14" a="1"/>
  <c r="D13" i="14"/>
  <c r="D11" i="14" a="1"/>
  <c r="D11" i="14"/>
  <c r="D9" i="14" a="1"/>
  <c r="D9" i="14"/>
  <c r="D18" i="14" a="1"/>
  <c r="D18" i="14"/>
  <c r="D16" i="14" a="1"/>
  <c r="D16" i="14"/>
  <c r="Y14" i="13" a="1"/>
  <c r="Y14" i="13"/>
  <c r="D8" i="14" a="1"/>
  <c r="D8" i="14"/>
  <c r="R4" i="13" a="1"/>
  <c r="R4" i="13"/>
  <c r="L22" i="26"/>
  <c r="C41" i="11"/>
  <c r="B3" i="13"/>
  <c r="G14" i="28" a="1"/>
  <c r="G14" i="28"/>
  <c r="E15" i="28" a="1"/>
  <c r="E15" i="28"/>
  <c r="J21" i="28" a="1"/>
  <c r="J21" i="28"/>
  <c r="H15" i="28" a="1"/>
  <c r="H15" i="28"/>
  <c r="M14" i="28" a="1"/>
  <c r="M14" i="28"/>
  <c r="O20" i="28" a="1"/>
  <c r="O20" i="28"/>
  <c r="F21" i="28" a="1"/>
  <c r="F21" i="28"/>
  <c r="H20" i="28" a="1"/>
  <c r="H20" i="28"/>
  <c r="N21" i="28" a="1"/>
  <c r="N21" i="28"/>
  <c r="I21" i="28" a="1"/>
  <c r="I21" i="28"/>
  <c r="E12" i="28" a="1"/>
  <c r="E12" i="28"/>
  <c r="I16" i="28" a="1"/>
  <c r="I16" i="28"/>
  <c r="F17" i="28" a="1"/>
  <c r="F17" i="28"/>
  <c r="M20" i="28" a="1"/>
  <c r="M20" i="28"/>
  <c r="O14" i="28" a="1"/>
  <c r="O14" i="28"/>
  <c r="K14" i="28" a="1"/>
  <c r="K14" i="28"/>
  <c r="F20" i="28" a="1"/>
  <c r="F20" i="28"/>
  <c r="E19" i="28" a="1"/>
  <c r="E19" i="28"/>
  <c r="N20" i="28" a="1"/>
  <c r="N20" i="28"/>
  <c r="K21" i="28" a="1"/>
  <c r="K21" i="28"/>
  <c r="G15" i="28" a="1"/>
  <c r="G15" i="28"/>
  <c r="G11" i="28" a="1"/>
  <c r="G11" i="28"/>
  <c r="H21" i="28" a="1"/>
  <c r="H21" i="28"/>
  <c r="F14" i="28" a="1"/>
  <c r="F14" i="28"/>
  <c r="M16" i="28" a="1"/>
  <c r="M16" i="28"/>
  <c r="J12" i="28" a="1"/>
  <c r="J12" i="28"/>
  <c r="H19" i="28" a="1"/>
  <c r="H19" i="28"/>
  <c r="N16" i="28" a="1"/>
  <c r="N16" i="28"/>
  <c r="K11" i="28" a="1"/>
  <c r="K11" i="28"/>
  <c r="K19" i="28" a="1"/>
  <c r="K19" i="28"/>
  <c r="O17" i="28" a="1"/>
  <c r="O17" i="28"/>
  <c r="K10" i="28" a="1"/>
  <c r="K10" i="28"/>
  <c r="M11" i="28" a="1"/>
  <c r="M11" i="28"/>
  <c r="O15" i="28" a="1"/>
  <c r="O15" i="28"/>
  <c r="N10" i="28" a="1"/>
  <c r="N10" i="28"/>
  <c r="F11" i="28" a="1"/>
  <c r="F11" i="28"/>
  <c r="E16" i="28" a="1"/>
  <c r="E16" i="28"/>
  <c r="L12" i="28" a="1"/>
  <c r="L12" i="28"/>
  <c r="I14" i="28" a="1"/>
  <c r="I14" i="28"/>
  <c r="I19" i="28" a="1"/>
  <c r="I19" i="28"/>
  <c r="G12" i="28" a="1"/>
  <c r="G12" i="28"/>
  <c r="J11" i="28" a="1"/>
  <c r="J11" i="28"/>
  <c r="M15" i="28" a="1"/>
  <c r="M15" i="28"/>
  <c r="J17" i="28" a="1"/>
  <c r="J17" i="28"/>
  <c r="E11" i="28" a="1"/>
  <c r="E11" i="28"/>
  <c r="N19" i="28" a="1"/>
  <c r="N19" i="28"/>
  <c r="G10" i="28" a="1"/>
  <c r="G10" i="28"/>
  <c r="G16" i="28" a="1"/>
  <c r="G16" i="28"/>
  <c r="H16" i="28" a="1"/>
  <c r="H16" i="28"/>
  <c r="F10" i="28" a="1"/>
  <c r="F10" i="28"/>
  <c r="M10" i="28" a="1"/>
  <c r="M10" i="28"/>
  <c r="L11" i="28" a="1"/>
  <c r="L11" i="28"/>
  <c r="O10" i="28" a="1"/>
  <c r="O10" i="28"/>
  <c r="E17" i="28" a="1"/>
  <c r="E17" i="28"/>
  <c r="K17" i="28" a="1"/>
  <c r="K17" i="28"/>
  <c r="O19" i="28" a="1"/>
  <c r="O19" i="28"/>
  <c r="H14" i="28" a="1"/>
  <c r="H14" i="28"/>
  <c r="E20" i="28" a="1"/>
  <c r="E20" i="28"/>
  <c r="G19" i="28" a="1"/>
  <c r="G19" i="28"/>
  <c r="J19" i="28" a="1"/>
  <c r="J19" i="28"/>
  <c r="G20" i="28" a="1"/>
  <c r="G20" i="28"/>
  <c r="L20" i="28" a="1"/>
  <c r="L20" i="28"/>
  <c r="L15" i="28" a="1"/>
  <c r="L15" i="28"/>
  <c r="I15" i="28" a="1"/>
  <c r="I15" i="28"/>
  <c r="L19" i="28" a="1"/>
  <c r="L19" i="28"/>
  <c r="G17" i="28" a="1"/>
  <c r="G17" i="28"/>
  <c r="N17" i="28" a="1"/>
  <c r="N17" i="28"/>
  <c r="N11" i="28" a="1"/>
  <c r="N11" i="28"/>
  <c r="I11" i="28" a="1"/>
  <c r="I11" i="28"/>
  <c r="G21" i="28" a="1"/>
  <c r="G21" i="28"/>
  <c r="E21" i="28" a="1"/>
  <c r="E21" i="28"/>
  <c r="F12" i="28" a="1"/>
  <c r="F12" i="28"/>
  <c r="K16" i="28" a="1"/>
  <c r="K16" i="28"/>
  <c r="N14" i="28" a="1"/>
  <c r="N14" i="28"/>
  <c r="L17" i="28" a="1"/>
  <c r="L17" i="28"/>
  <c r="K15" i="28" a="1"/>
  <c r="K15" i="28"/>
  <c r="N15" i="28" a="1"/>
  <c r="N15" i="28"/>
  <c r="J10" i="28" a="1"/>
  <c r="J10" i="28"/>
  <c r="O16" i="28" a="1"/>
  <c r="O16" i="28"/>
  <c r="F16" i="28" a="1"/>
  <c r="F16" i="28"/>
  <c r="E14" i="28" a="1"/>
  <c r="E14" i="28"/>
  <c r="M12" i="28" a="1"/>
  <c r="M12" i="28"/>
  <c r="F15" i="28" a="1"/>
  <c r="F15" i="28"/>
  <c r="L21" i="28" a="1"/>
  <c r="L21" i="28"/>
  <c r="E10" i="28" a="1"/>
  <c r="E10" i="28"/>
  <c r="M21" i="28" a="1"/>
  <c r="M21" i="28"/>
  <c r="K20" i="28" a="1"/>
  <c r="K20" i="28"/>
  <c r="N12" i="28" a="1"/>
  <c r="N12" i="28"/>
  <c r="J16" i="28" a="1"/>
  <c r="J16" i="28"/>
  <c r="K12" i="28" a="1"/>
  <c r="K12" i="28"/>
  <c r="L14" i="28" a="1"/>
  <c r="L14" i="28"/>
  <c r="H10" i="28" a="1"/>
  <c r="H10" i="28"/>
  <c r="L16" i="28" a="1"/>
  <c r="L16" i="28"/>
  <c r="J14" i="28" a="1"/>
  <c r="J14" i="28"/>
  <c r="M17" i="28" a="1"/>
  <c r="M17" i="28"/>
  <c r="O21" i="28" a="1"/>
  <c r="O21" i="28"/>
  <c r="I12" i="28" a="1"/>
  <c r="I12" i="28"/>
  <c r="L10" i="28" a="1"/>
  <c r="L10" i="28"/>
  <c r="I10" i="28" a="1"/>
  <c r="I10" i="28"/>
  <c r="I20" i="28" a="1"/>
  <c r="I20" i="28"/>
  <c r="O12" i="28" a="1"/>
  <c r="O12" i="28"/>
  <c r="F19" i="28" a="1"/>
  <c r="F19" i="28"/>
  <c r="H11" i="28" a="1"/>
  <c r="H11" i="28"/>
  <c r="J20" i="28" a="1"/>
  <c r="J20" i="28"/>
  <c r="M19" i="28" a="1"/>
  <c r="M19" i="28"/>
  <c r="H17" i="28" a="1"/>
  <c r="H17" i="28"/>
  <c r="H12" i="28" a="1"/>
  <c r="H12" i="28"/>
  <c r="J15" i="28" a="1"/>
  <c r="J15" i="28"/>
  <c r="I17" i="28" a="1"/>
  <c r="I17" i="28"/>
  <c r="O11" i="28" a="1"/>
  <c r="O11" i="28"/>
  <c r="I7" i="28" a="1"/>
  <c r="I7" i="28"/>
  <c r="H6" i="16"/>
  <c r="D21" i="16" a="1"/>
  <c r="D21" i="16"/>
  <c r="L7" i="28" a="1"/>
  <c r="L7" i="28"/>
  <c r="N7" i="28" a="1"/>
  <c r="N7" i="28"/>
  <c r="D6" i="16" a="1"/>
  <c r="D6" i="16"/>
  <c r="E7" i="28" a="1"/>
  <c r="E7" i="28"/>
  <c r="G17" i="6" a="1"/>
  <c r="G17" i="6"/>
  <c r="G4" i="4" a="1"/>
  <c r="G4" i="4"/>
  <c r="G7" i="28" a="1"/>
  <c r="G7" i="28"/>
  <c r="D8" i="16" a="1"/>
  <c r="D8" i="16"/>
  <c r="O7" i="28" a="1"/>
  <c r="O7" i="28"/>
  <c r="D22" i="16" a="1"/>
  <c r="D22" i="16"/>
  <c r="M7" i="28" a="1"/>
  <c r="M7" i="28"/>
  <c r="K7" i="28" a="1"/>
  <c r="K7" i="28"/>
  <c r="H10" i="16" a="1"/>
  <c r="H10" i="16"/>
  <c r="H7" i="28" a="1"/>
  <c r="H7" i="28"/>
  <c r="F7" i="28" a="1"/>
  <c r="F7" i="28"/>
  <c r="D7" i="16" a="1"/>
  <c r="D7" i="16"/>
  <c r="H7" i="16" a="1"/>
  <c r="H7" i="16"/>
  <c r="J7" i="28" a="1"/>
  <c r="J7" i="28"/>
  <c r="L5" i="4" a="1"/>
  <c r="L5" i="4"/>
  <c r="N9" i="28" a="1"/>
  <c r="N9" i="28"/>
  <c r="O9" i="28" a="1"/>
  <c r="O9" i="28"/>
  <c r="H9" i="28" a="1"/>
  <c r="H9" i="28"/>
  <c r="M9" i="28" a="1"/>
  <c r="M9" i="28"/>
  <c r="K9" i="28" a="1"/>
  <c r="K9" i="28"/>
  <c r="I9" i="28" a="1"/>
  <c r="I9" i="28"/>
  <c r="G9" i="28" a="1"/>
  <c r="G9" i="28"/>
  <c r="E9" i="28" a="1"/>
  <c r="E9" i="28"/>
  <c r="L9" i="28" a="1"/>
  <c r="L9" i="28"/>
  <c r="F9" i="28" a="1"/>
  <c r="F9" i="28"/>
  <c r="J9" i="28" a="1"/>
  <c r="J9" i="28"/>
  <c r="H22" i="16" a="1"/>
  <c r="H22" i="16"/>
  <c r="H11" i="16" a="1"/>
  <c r="H11" i="16"/>
  <c r="E5" i="13" a="1"/>
  <c r="E5" i="13"/>
  <c r="D6" i="13" a="1"/>
  <c r="D6" i="13"/>
  <c r="F5" i="13" a="1"/>
  <c r="F5" i="13"/>
  <c r="G6" i="13" a="1"/>
  <c r="G6" i="13"/>
  <c r="F7" i="13" a="1"/>
  <c r="F7" i="13"/>
  <c r="D4" i="13" a="1"/>
  <c r="D4" i="13"/>
  <c r="E6" i="13" a="1"/>
  <c r="E6" i="13"/>
  <c r="E7" i="13" a="1"/>
  <c r="E7" i="13"/>
  <c r="F4" i="13" a="1"/>
  <c r="F4" i="13"/>
  <c r="C7" i="13" a="1"/>
  <c r="C7" i="13"/>
  <c r="G5" i="13" a="1"/>
  <c r="G5" i="13"/>
  <c r="F6" i="13" a="1"/>
  <c r="F6" i="13"/>
  <c r="C4" i="13" a="1"/>
  <c r="C4" i="13"/>
  <c r="C6" i="13" a="1"/>
  <c r="C6" i="13"/>
  <c r="C5" i="13" a="1"/>
  <c r="C5" i="13"/>
  <c r="D5" i="13" a="1"/>
  <c r="D5" i="13"/>
  <c r="D7" i="13" a="1"/>
  <c r="D7" i="13"/>
  <c r="G7" i="13" a="1"/>
  <c r="G7" i="13"/>
  <c r="E4" i="13" a="1"/>
  <c r="E4" i="13"/>
  <c r="G4" i="13" a="1"/>
  <c r="G4" i="13"/>
  <c r="G13" i="28" a="1"/>
  <c r="G13" i="28"/>
  <c r="H13" i="28" a="1"/>
  <c r="H13" i="28"/>
  <c r="L13" i="28" a="1"/>
  <c r="L13" i="28"/>
  <c r="K13" i="28" a="1"/>
  <c r="K13" i="28"/>
  <c r="N13" i="28" a="1"/>
  <c r="N13" i="28"/>
  <c r="H18" i="28" a="1"/>
  <c r="H18" i="28"/>
  <c r="M18" i="28" a="1"/>
  <c r="M18" i="28"/>
  <c r="O18" i="28" a="1"/>
  <c r="O18" i="28"/>
  <c r="M13" i="28" a="1"/>
  <c r="M13" i="28"/>
  <c r="F13" i="28" a="1"/>
  <c r="F13" i="28"/>
  <c r="J18" i="28" a="1"/>
  <c r="J18" i="28"/>
  <c r="I13" i="28" a="1"/>
  <c r="I13" i="28"/>
  <c r="E13" i="28" a="1"/>
  <c r="E13" i="28"/>
  <c r="L18" i="28" a="1"/>
  <c r="L18" i="28"/>
  <c r="K18" i="28" a="1"/>
  <c r="K18" i="28"/>
  <c r="N18" i="28" a="1"/>
  <c r="N18" i="28"/>
  <c r="O13" i="28" a="1"/>
  <c r="O13" i="28"/>
  <c r="I18" i="28" a="1"/>
  <c r="I18" i="28"/>
  <c r="G18" i="28" a="1"/>
  <c r="G18" i="28"/>
  <c r="E18" i="28" a="1"/>
  <c r="E18" i="28"/>
  <c r="F18" i="28" a="1"/>
  <c r="F18" i="28"/>
  <c r="J13" i="28" a="1"/>
  <c r="J13" i="28"/>
  <c r="T46" i="16" a="1"/>
  <c r="T46" i="16"/>
  <c r="T44" i="16" a="1"/>
  <c r="T44" i="16"/>
  <c r="T43" i="16" a="1"/>
  <c r="T43" i="16"/>
  <c r="T53" i="16" a="1"/>
  <c r="T53" i="16"/>
  <c r="T54" i="16" a="1"/>
  <c r="T54" i="16"/>
  <c r="T42" i="16" a="1"/>
  <c r="T42" i="16"/>
  <c r="T45" i="16"/>
  <c r="T51" i="16" a="1"/>
  <c r="T51" i="16"/>
  <c r="C9" i="28"/>
  <c r="C94" i="13" a="1"/>
  <c r="C94" i="13"/>
  <c r="E95" i="13" a="1"/>
  <c r="E95" i="13"/>
  <c r="E89" i="13" a="1"/>
  <c r="E89" i="13"/>
  <c r="G94" i="13" a="1"/>
  <c r="G94" i="13"/>
  <c r="F95" i="13" a="1"/>
  <c r="F95" i="13"/>
  <c r="D99" i="13" a="1"/>
  <c r="D99" i="13"/>
  <c r="N73" i="28" a="1"/>
  <c r="N73" i="28"/>
  <c r="I77" i="28" a="1"/>
  <c r="I77" i="28"/>
  <c r="I64" i="28" a="1"/>
  <c r="I64" i="28"/>
  <c r="K84" i="28" a="1"/>
  <c r="K84" i="28"/>
  <c r="F97" i="28" a="1"/>
  <c r="F97" i="28"/>
  <c r="G91" i="28" a="1"/>
  <c r="G91" i="28"/>
  <c r="M87" i="28" a="1"/>
  <c r="M87" i="28"/>
  <c r="O81" i="28" a="1"/>
  <c r="O81" i="28"/>
  <c r="J99" i="28" a="1"/>
  <c r="J99" i="28"/>
  <c r="J92" i="28" a="1"/>
  <c r="J92" i="28"/>
  <c r="L91" i="28" a="1"/>
  <c r="L91" i="28"/>
  <c r="E99" i="28" a="1"/>
  <c r="E99" i="28"/>
  <c r="H90" i="28" a="1"/>
  <c r="H90" i="28"/>
  <c r="D106" i="28" l="1"/>
  <c r="D105" i="28"/>
  <c r="D104" i="28"/>
  <c r="D103" i="28"/>
  <c r="D102" i="28"/>
  <c r="D101" i="28"/>
  <c r="D100" i="28"/>
  <c r="D99" i="28"/>
  <c r="D98" i="28"/>
  <c r="D97" i="28"/>
  <c r="D96" i="28"/>
  <c r="D95" i="28"/>
  <c r="D94" i="28"/>
  <c r="D93" i="28"/>
  <c r="D92" i="28"/>
  <c r="D91" i="28"/>
  <c r="D90" i="28"/>
  <c r="D89" i="28"/>
  <c r="D88" i="28"/>
  <c r="D87" i="28"/>
  <c r="D86" i="28"/>
  <c r="D85" i="28"/>
  <c r="D84" i="28"/>
  <c r="D83" i="28"/>
  <c r="D82" i="28"/>
  <c r="D81" i="28"/>
  <c r="D80" i="28"/>
  <c r="D79" i="28"/>
  <c r="D78" i="28"/>
  <c r="D77" i="28"/>
  <c r="D76" i="28"/>
  <c r="D75" i="28"/>
  <c r="D74" i="28"/>
  <c r="D73" i="28"/>
  <c r="D72" i="28"/>
  <c r="D71" i="28"/>
  <c r="D70" i="28"/>
  <c r="D69" i="28"/>
  <c r="D68" i="28"/>
  <c r="D67" i="28"/>
  <c r="D66" i="28"/>
  <c r="D65" i="28"/>
  <c r="D64" i="28"/>
  <c r="D63" i="28"/>
  <c r="D62" i="28"/>
  <c r="D61" i="28"/>
  <c r="D60" i="28"/>
  <c r="D59" i="28"/>
  <c r="D58" i="28"/>
  <c r="D57" i="28"/>
  <c r="D56" i="28"/>
  <c r="D55" i="28"/>
  <c r="D54" i="28"/>
  <c r="D53" i="28"/>
  <c r="D52" i="28"/>
  <c r="D51" i="28"/>
  <c r="D50" i="28"/>
  <c r="D49" i="28"/>
  <c r="D48" i="28"/>
  <c r="D47" i="28"/>
  <c r="D46" i="28"/>
  <c r="D45" i="28"/>
  <c r="D44" i="28"/>
  <c r="D43" i="28"/>
  <c r="D42" i="28"/>
  <c r="D41" i="28"/>
  <c r="D40" i="28"/>
  <c r="D39" i="28"/>
  <c r="D38" i="28"/>
  <c r="D37" i="28"/>
  <c r="D36" i="28"/>
  <c r="D35" i="28"/>
  <c r="D34" i="28"/>
  <c r="D33" i="28"/>
  <c r="D32" i="28"/>
  <c r="D31" i="28"/>
  <c r="D30" i="28"/>
  <c r="D29" i="28"/>
  <c r="D28" i="28"/>
  <c r="D27" i="28"/>
  <c r="D26" i="28"/>
  <c r="D25" i="28"/>
  <c r="D24" i="28"/>
  <c r="D23" i="28"/>
  <c r="D22" i="28"/>
  <c r="D21" i="28"/>
  <c r="D20" i="28"/>
  <c r="D19" i="28"/>
  <c r="D18" i="28"/>
  <c r="D17" i="28"/>
  <c r="D16" i="28"/>
  <c r="D15" i="28"/>
  <c r="D14" i="28"/>
  <c r="D13" i="28"/>
  <c r="D12" i="28"/>
  <c r="D11" i="28"/>
  <c r="D10" i="28"/>
  <c r="D7" i="28"/>
  <c r="X24" i="13"/>
  <c r="X22" i="13"/>
  <c r="B22" i="12"/>
  <c r="B21" i="12"/>
  <c r="B20" i="12"/>
  <c r="B19" i="12"/>
  <c r="B18" i="12"/>
  <c r="B17" i="12"/>
  <c r="B16" i="12"/>
  <c r="B15" i="12"/>
  <c r="B14" i="12"/>
  <c r="B13" i="12"/>
  <c r="B100" i="11"/>
  <c r="B99" i="11"/>
  <c r="B98" i="11"/>
  <c r="B97" i="11"/>
  <c r="B96" i="11"/>
  <c r="B95" i="11"/>
  <c r="B94" i="11"/>
  <c r="B93" i="11"/>
  <c r="B92" i="11"/>
  <c r="B91" i="11"/>
  <c r="B90" i="11"/>
  <c r="B89" i="11"/>
  <c r="B88" i="11"/>
  <c r="B87" i="11"/>
  <c r="B86" i="11"/>
  <c r="B85" i="11"/>
  <c r="B84" i="11"/>
  <c r="B83" i="11"/>
  <c r="B82" i="11"/>
  <c r="B81" i="11"/>
  <c r="B80" i="11"/>
  <c r="B79" i="11"/>
  <c r="B78" i="11"/>
  <c r="B77" i="11"/>
  <c r="B76" i="11"/>
  <c r="B75" i="11"/>
  <c r="B74" i="11"/>
  <c r="B73" i="11"/>
  <c r="B72" i="11"/>
  <c r="B71" i="11"/>
  <c r="B70" i="11"/>
  <c r="B69" i="11"/>
  <c r="B68" i="11"/>
  <c r="B67" i="11"/>
  <c r="B66" i="11"/>
  <c r="B65" i="11"/>
  <c r="B64" i="11"/>
  <c r="B63" i="11"/>
  <c r="B62" i="11"/>
  <c r="B61" i="11"/>
  <c r="B60" i="11"/>
  <c r="B59" i="11"/>
  <c r="B58" i="11"/>
  <c r="B57" i="11"/>
  <c r="B56" i="11"/>
  <c r="B55" i="11"/>
  <c r="B54" i="11"/>
  <c r="B53" i="11"/>
  <c r="B52" i="11"/>
  <c r="B51" i="11"/>
  <c r="B50" i="11"/>
  <c r="B49" i="11"/>
  <c r="B48" i="11"/>
  <c r="B47" i="11"/>
  <c r="B46" i="11"/>
  <c r="B45" i="11"/>
  <c r="B44" i="11"/>
  <c r="B43" i="11"/>
  <c r="B42" i="11"/>
  <c r="Q85" i="7"/>
  <c r="D83" i="7"/>
  <c r="Q77" i="7"/>
  <c r="Q79" i="7" s="1"/>
  <c r="D75" i="7"/>
  <c r="Q69" i="7"/>
  <c r="D67" i="7"/>
  <c r="Q61" i="7"/>
  <c r="D59" i="7"/>
  <c r="Q53" i="7"/>
  <c r="D51" i="7"/>
  <c r="Q45" i="7"/>
  <c r="D43" i="7"/>
  <c r="Q37" i="7"/>
  <c r="D35" i="7"/>
  <c r="Q29" i="7"/>
  <c r="Q31" i="7" s="1"/>
  <c r="D27" i="7"/>
  <c r="Q21" i="7"/>
  <c r="D19" i="7"/>
  <c r="Q13" i="7"/>
  <c r="D11" i="7"/>
  <c r="G63" i="6" a="1"/>
  <c r="G63" i="6" s="1"/>
  <c r="G59" i="6" a="1"/>
  <c r="G59" i="6" s="1"/>
  <c r="G55" i="6" a="1"/>
  <c r="G55" i="6" s="1"/>
  <c r="G51" i="6"/>
  <c r="G51" i="6" a="1"/>
  <c r="G47" i="6" a="1"/>
  <c r="G47" i="6" s="1"/>
  <c r="G43" i="6" a="1"/>
  <c r="G43" i="6" s="1"/>
  <c r="G39" i="6" a="1"/>
  <c r="G39" i="6" s="1"/>
  <c r="G35" i="6" a="1"/>
  <c r="G35" i="6" s="1"/>
  <c r="G31" i="6" a="1"/>
  <c r="G31" i="6" s="1"/>
  <c r="G27" i="6"/>
  <c r="G27" i="6" a="1"/>
  <c r="G23" i="6" a="1"/>
  <c r="G23" i="6" s="1"/>
  <c r="G22" i="6" a="1"/>
  <c r="G22" i="6" s="1"/>
  <c r="G11" i="6"/>
  <c r="S21" i="14"/>
  <c r="T70" i="18"/>
  <c r="T61" i="18"/>
  <c r="T50" i="18"/>
  <c r="T41" i="18"/>
  <c r="M13" i="18"/>
  <c r="H13" i="18"/>
  <c r="C13" i="18"/>
  <c r="M9" i="18"/>
  <c r="C55" i="18" s="1"/>
  <c r="C9" i="18"/>
  <c r="C10" i="18" s="1"/>
  <c r="H17" i="18" s="1"/>
  <c r="G4" i="18"/>
  <c r="AG58" i="21"/>
  <c r="J15" i="21"/>
  <c r="AI103" i="21" s="1"/>
  <c r="F11" i="21"/>
  <c r="P30" i="21" s="1"/>
  <c r="F7" i="21"/>
  <c r="N15" i="20"/>
  <c r="N13" i="20"/>
  <c r="N12" i="20"/>
  <c r="N11" i="20"/>
  <c r="G11" i="20"/>
  <c r="N9" i="20"/>
  <c r="V69" i="8"/>
  <c r="V60" i="8"/>
  <c r="V49" i="8"/>
  <c r="V40" i="8"/>
  <c r="N9" i="8"/>
  <c r="V63" i="8" s="1"/>
  <c r="D9" i="8"/>
  <c r="H4" i="8"/>
  <c r="F82" i="16"/>
  <c r="B82" i="16"/>
  <c r="B78" i="16"/>
  <c r="F77" i="16"/>
  <c r="B77" i="16"/>
  <c r="F76" i="16"/>
  <c r="B76" i="16"/>
  <c r="B75" i="16"/>
  <c r="B65" i="16"/>
  <c r="F64" i="16"/>
  <c r="B64" i="16"/>
  <c r="F63" i="16"/>
  <c r="B63" i="16"/>
  <c r="F61" i="16"/>
  <c r="F60" i="16"/>
  <c r="F59" i="16"/>
  <c r="B59" i="16"/>
  <c r="F40" i="16"/>
  <c r="F55" i="16" s="1"/>
  <c r="B40" i="16"/>
  <c r="B55" i="16" s="1"/>
  <c r="F39" i="16"/>
  <c r="F54" i="16" s="1"/>
  <c r="B39" i="16"/>
  <c r="B54" i="16" s="1"/>
  <c r="F38" i="16"/>
  <c r="F53" i="16" s="1"/>
  <c r="B38" i="16"/>
  <c r="B53" i="16" s="1"/>
  <c r="F37" i="16"/>
  <c r="F52" i="16" s="1"/>
  <c r="B37" i="16"/>
  <c r="B52" i="16" s="1"/>
  <c r="F36" i="16"/>
  <c r="F51" i="16" s="1"/>
  <c r="B36" i="16"/>
  <c r="B51" i="16" s="1"/>
  <c r="J30" i="16"/>
  <c r="V28" i="16"/>
  <c r="V22" i="16"/>
  <c r="B11" i="16"/>
  <c r="R4" i="16"/>
  <c r="H82" i="28" a="1"/>
  <c r="H71" i="28" a="1"/>
  <c r="H25" i="28" a="1"/>
  <c r="E89" i="28" a="1"/>
  <c r="E44" i="28" a="1"/>
  <c r="E30" i="28" a="1"/>
  <c r="E105" i="28" a="1"/>
  <c r="H66" i="28" a="1"/>
  <c r="H57" i="28" a="1"/>
  <c r="H42" i="28" a="1"/>
  <c r="E88" i="28" a="1"/>
  <c r="E76" i="28" a="1"/>
  <c r="E57" i="28" a="1"/>
  <c r="E103" i="28" a="1"/>
  <c r="H99" i="28" a="1"/>
  <c r="H78" i="28" a="1"/>
  <c r="H65" i="28" a="1"/>
  <c r="H53" i="28" a="1"/>
  <c r="H88" i="28" a="1"/>
  <c r="H51" i="28" a="1"/>
  <c r="H39" i="28" a="1"/>
  <c r="H106" i="28" a="1"/>
  <c r="E67" i="28" a="1"/>
  <c r="E55" i="28" a="1"/>
  <c r="E41" i="28" a="1"/>
  <c r="L88" i="28" a="1"/>
  <c r="L78" i="28" a="1"/>
  <c r="L67" i="28" a="1"/>
  <c r="L58" i="28" a="1"/>
  <c r="L44" i="28" a="1"/>
  <c r="L34" i="28" a="1"/>
  <c r="L24" i="28" a="1"/>
  <c r="J80" i="28" a="1"/>
  <c r="J67" i="28" a="1"/>
  <c r="J58" i="28" a="1"/>
  <c r="J49" i="28" a="1"/>
  <c r="J37" i="28" a="1"/>
  <c r="H96" i="28" a="1"/>
  <c r="H87" i="28" a="1"/>
  <c r="H77" i="28" a="1"/>
  <c r="H61" i="28" a="1"/>
  <c r="H50" i="28" a="1"/>
  <c r="H37" i="28" a="1"/>
  <c r="E83" i="28" a="1"/>
  <c r="E66" i="28" a="1"/>
  <c r="E54" i="28" a="1"/>
  <c r="E100" i="28" a="1"/>
  <c r="L86" i="28" a="1"/>
  <c r="L76" i="28" a="1"/>
  <c r="L65" i="28" a="1"/>
  <c r="L53" i="28" a="1"/>
  <c r="L42" i="28" a="1"/>
  <c r="L33" i="28" a="1"/>
  <c r="L22" i="28" a="1"/>
  <c r="J97" i="28" a="1"/>
  <c r="J90" i="28" a="1"/>
  <c r="J77" i="28" a="1"/>
  <c r="J66" i="28" a="1"/>
  <c r="J57" i="28" a="1"/>
  <c r="J48" i="28" a="1"/>
  <c r="H84" i="28" a="1"/>
  <c r="H60" i="28" a="1"/>
  <c r="H102" i="28" a="1"/>
  <c r="E85" i="28" a="1"/>
  <c r="E61" i="28" a="1"/>
  <c r="L74" i="28" a="1"/>
  <c r="L31" i="28" a="1"/>
  <c r="J75" i="28" a="1"/>
  <c r="J104" i="28" a="1"/>
  <c r="O58" i="28" a="1"/>
  <c r="O49" i="28" a="1"/>
  <c r="O22" i="28" a="1"/>
  <c r="M59" i="28" a="1"/>
  <c r="M38" i="28" a="1"/>
  <c r="M103" i="28" a="1"/>
  <c r="G71" i="28" a="1"/>
  <c r="G57" i="28" a="1"/>
  <c r="G38" i="28" a="1"/>
  <c r="G23" i="28" a="1"/>
  <c r="F89" i="28" a="1"/>
  <c r="F79" i="28" a="1"/>
  <c r="F72" i="28" a="1"/>
  <c r="F64" i="28" a="1"/>
  <c r="F52" i="28" a="1"/>
  <c r="F43" i="28" a="1"/>
  <c r="F31" i="28" a="1"/>
  <c r="F22" i="28" a="1"/>
  <c r="F100" i="28" a="1"/>
  <c r="K75" i="28" a="1"/>
  <c r="K66" i="28" a="1"/>
  <c r="K58" i="28" a="1"/>
  <c r="K50" i="28" a="1"/>
  <c r="H83" i="28" a="1"/>
  <c r="H101" i="28" a="1"/>
  <c r="E84" i="28" a="1"/>
  <c r="E38" i="28" a="1"/>
  <c r="E106" i="28" a="1"/>
  <c r="L61" i="28" a="1"/>
  <c r="L102" i="28" a="1"/>
  <c r="J62" i="28" a="1"/>
  <c r="J28" i="28" a="1"/>
  <c r="O89" i="28" a="1"/>
  <c r="O71" i="28" a="1"/>
  <c r="O56" i="28" a="1"/>
  <c r="O32" i="28" a="1"/>
  <c r="M99" i="28" a="1"/>
  <c r="M77" i="28" a="1"/>
  <c r="M47" i="28" a="1"/>
  <c r="M27" i="28" a="1"/>
  <c r="M100" i="28" a="1"/>
  <c r="G81" i="28" a="1"/>
  <c r="H59" i="28" a="1"/>
  <c r="H33" i="28" a="1"/>
  <c r="E58" i="28" a="1"/>
  <c r="E36" i="28" a="1"/>
  <c r="L72" i="28" a="1"/>
  <c r="L60" i="28" a="1"/>
  <c r="L29" i="28" a="1"/>
  <c r="L101" i="28" a="1"/>
  <c r="J73" i="28" a="1"/>
  <c r="J59" i="28" a="1"/>
  <c r="J103" i="28" a="1"/>
  <c r="O80" i="28" a="1"/>
  <c r="O68" i="28" a="1"/>
  <c r="O45" i="28" a="1"/>
  <c r="O106" i="28" a="1"/>
  <c r="M86" i="28" a="1"/>
  <c r="M57" i="28" a="1"/>
  <c r="M35" i="28" a="1"/>
  <c r="M26" i="28" a="1"/>
  <c r="G89" i="28" a="1"/>
  <c r="G69" i="28" a="1"/>
  <c r="G55" i="28" a="1"/>
  <c r="G34" i="28" a="1"/>
  <c r="G104" i="28" a="1"/>
  <c r="H81" i="28" a="1"/>
  <c r="H58" i="28" a="1"/>
  <c r="E98" i="28" a="1"/>
  <c r="E81" i="28" a="1"/>
  <c r="E56" i="28" a="1"/>
  <c r="L85" i="28" a="1"/>
  <c r="L41" i="28" a="1"/>
  <c r="J89" i="28" a="1"/>
  <c r="J46" i="28" a="1"/>
  <c r="J25" i="28" a="1"/>
  <c r="O88" i="28" a="1"/>
  <c r="O79" i="28" a="1"/>
  <c r="O55" i="28" a="1"/>
  <c r="O31" i="28" a="1"/>
  <c r="M98" i="28" a="1"/>
  <c r="M72" i="28" a="1"/>
  <c r="M45" i="28" a="1"/>
  <c r="M34" i="28" a="1"/>
  <c r="G99" i="28" a="1"/>
  <c r="G79" i="28" a="1"/>
  <c r="H94" i="28" a="1"/>
  <c r="H74" i="28" a="1"/>
  <c r="E95" i="28" a="1"/>
  <c r="E78" i="28" a="1"/>
  <c r="E31" i="28" a="1"/>
  <c r="E101" i="28" a="1"/>
  <c r="L84" i="28" a="1"/>
  <c r="L68" i="28" a="1"/>
  <c r="L40" i="28" a="1"/>
  <c r="L27" i="28" a="1"/>
  <c r="H72" i="28" a="1"/>
  <c r="H47" i="28" a="1"/>
  <c r="H24" i="28" a="1"/>
  <c r="E93" i="28" a="1"/>
  <c r="E29" i="28" a="1"/>
  <c r="L97" i="28" a="1"/>
  <c r="L81" i="28" a="1"/>
  <c r="L39" i="28" a="1"/>
  <c r="J84" i="28" a="1"/>
  <c r="J43" i="28" a="1"/>
  <c r="O95" i="28" a="1"/>
  <c r="O77" i="28" a="1"/>
  <c r="O53" i="28" a="1"/>
  <c r="O27" i="28" a="1"/>
  <c r="M93" i="28" a="1"/>
  <c r="M82" i="28" a="1"/>
  <c r="M50" i="28" a="1"/>
  <c r="M31" i="28" a="1"/>
  <c r="G97" i="28" a="1"/>
  <c r="G76" i="28" a="1"/>
  <c r="H75" i="28" a="1"/>
  <c r="H32" i="28" a="1"/>
  <c r="E34" i="28" a="1"/>
  <c r="L28" i="28" a="1"/>
  <c r="J93" i="28" a="1"/>
  <c r="J65" i="28" a="1"/>
  <c r="J102" i="28" a="1"/>
  <c r="O82" i="28" a="1"/>
  <c r="O60" i="28" a="1"/>
  <c r="M69" i="28" a="1"/>
  <c r="M43" i="28" a="1"/>
  <c r="G78" i="28" a="1"/>
  <c r="F80" i="28" a="1"/>
  <c r="F53" i="28" a="1"/>
  <c r="F23" i="28" a="1"/>
  <c r="K77" i="28" a="1"/>
  <c r="K51" i="28" a="1"/>
  <c r="K35" i="28" a="1"/>
  <c r="K25" i="28" a="1"/>
  <c r="I29" i="28" a="1"/>
  <c r="I100" i="28" a="1"/>
  <c r="N57" i="28" a="1"/>
  <c r="N38" i="28" a="1"/>
  <c r="N29" i="28" a="1"/>
  <c r="D91" i="13" a="1"/>
  <c r="D86" i="13" a="1"/>
  <c r="D80" i="13" a="1"/>
  <c r="D75" i="13" a="1"/>
  <c r="D69" i="13" a="1"/>
  <c r="D63" i="13" a="1"/>
  <c r="D57" i="13" a="1"/>
  <c r="D51" i="13" a="1"/>
  <c r="D45" i="13" a="1"/>
  <c r="D39" i="13" a="1"/>
  <c r="D33" i="13" a="1"/>
  <c r="D27" i="13" a="1"/>
  <c r="D21" i="13" a="1"/>
  <c r="D15" i="13" a="1"/>
  <c r="D101" i="13" a="1"/>
  <c r="F9" i="13" a="1"/>
  <c r="F84" i="13" a="1"/>
  <c r="F79" i="13" a="1"/>
  <c r="F73" i="13" a="1"/>
  <c r="F67" i="13" a="1"/>
  <c r="F61" i="13" a="1"/>
  <c r="F55" i="13" a="1"/>
  <c r="F49" i="13" a="1"/>
  <c r="F43" i="13" a="1"/>
  <c r="F37" i="13" a="1"/>
  <c r="F31" i="13" a="1"/>
  <c r="F25" i="13" a="1"/>
  <c r="F19" i="13" a="1"/>
  <c r="F13" i="13" a="1"/>
  <c r="F100" i="13" a="1"/>
  <c r="G89" i="13" a="1"/>
  <c r="H27" i="28" a="1"/>
  <c r="E77" i="28" a="1"/>
  <c r="L52" i="28" a="1"/>
  <c r="J42" i="28" a="1"/>
  <c r="J101" i="28" a="1"/>
  <c r="O39" i="28" a="1"/>
  <c r="O105" i="28" a="1"/>
  <c r="M88" i="28" a="1"/>
  <c r="M62" i="28" a="1"/>
  <c r="M29" i="28" a="1"/>
  <c r="G95" i="28" a="1"/>
  <c r="G48" i="28" a="1"/>
  <c r="G30" i="28" a="1"/>
  <c r="F93" i="28" a="1"/>
  <c r="F69" i="28" a="1"/>
  <c r="F34" i="28" a="1"/>
  <c r="K93" i="28" a="1"/>
  <c r="K62" i="28" a="1"/>
  <c r="I96" i="28" a="1"/>
  <c r="I47" i="28" a="1"/>
  <c r="N87" i="28" a="1"/>
  <c r="N48" i="28" a="1"/>
  <c r="E74" i="28" a="1"/>
  <c r="E28" i="28" a="1"/>
  <c r="L80" i="28" a="1"/>
  <c r="L51" i="28" a="1"/>
  <c r="J88" i="28" a="1"/>
  <c r="J64" i="28" a="1"/>
  <c r="O59" i="28" a="1"/>
  <c r="O38" i="28" a="1"/>
  <c r="M41" i="28" a="1"/>
  <c r="M25" i="28" a="1"/>
  <c r="F92" i="28" a="1"/>
  <c r="F78" i="28" a="1"/>
  <c r="F67" i="28" a="1"/>
  <c r="F51" i="28" a="1"/>
  <c r="F33" i="28" a="1"/>
  <c r="F106" i="28" a="1"/>
  <c r="K87" i="28" a="1"/>
  <c r="K74" i="28" a="1"/>
  <c r="K61" i="28" a="1"/>
  <c r="K47" i="28" a="1"/>
  <c r="K34" i="28" a="1"/>
  <c r="K24" i="28" a="1"/>
  <c r="I92" i="28" a="1"/>
  <c r="I76" i="28" a="1"/>
  <c r="I63" i="28" a="1"/>
  <c r="I45" i="28" a="1"/>
  <c r="H105" i="28" a="1"/>
  <c r="E26" i="28" a="1"/>
  <c r="L105" i="28" a="1"/>
  <c r="O78" i="28" a="1"/>
  <c r="O104" i="28" a="1"/>
  <c r="M85" i="28" a="1"/>
  <c r="M60" i="28" a="1"/>
  <c r="M40" i="28" a="1"/>
  <c r="G93" i="28" a="1"/>
  <c r="G75" i="28" a="1"/>
  <c r="G47" i="28" a="1"/>
  <c r="G103" i="28" a="1"/>
  <c r="F77" i="28" a="1"/>
  <c r="F48" i="28" a="1"/>
  <c r="F105" i="28" a="1"/>
  <c r="K73" i="28" a="1"/>
  <c r="K45" i="28" a="1"/>
  <c r="K32" i="28" a="1"/>
  <c r="I91" i="28" a="1"/>
  <c r="I75" i="28" a="1"/>
  <c r="I43" i="28" a="1"/>
  <c r="I27" i="28" a="1"/>
  <c r="N83" i="28" a="1"/>
  <c r="N71" i="28" a="1"/>
  <c r="N46" i="28" a="1"/>
  <c r="N36" i="28" a="1"/>
  <c r="D96" i="13" a="1"/>
  <c r="H64" i="28" a="1"/>
  <c r="H103" i="28" a="1"/>
  <c r="E24" i="28" a="1"/>
  <c r="L49" i="28" a="1"/>
  <c r="J82" i="28" a="1"/>
  <c r="J31" i="28" a="1"/>
  <c r="O92" i="28" a="1"/>
  <c r="O36" i="28" a="1"/>
  <c r="E64" i="28" a="1"/>
  <c r="E22" i="28" a="1"/>
  <c r="L45" i="28" a="1"/>
  <c r="L103" i="28" a="1"/>
  <c r="J56" i="28" a="1"/>
  <c r="O54" i="28" a="1"/>
  <c r="O35" i="28" a="1"/>
  <c r="O102" i="28" a="1"/>
  <c r="M83" i="28" a="1"/>
  <c r="M54" i="28" a="1"/>
  <c r="M39" i="28" a="1"/>
  <c r="M22" i="28" a="1"/>
  <c r="G101" i="28" a="1"/>
  <c r="F76" i="28" a="1"/>
  <c r="F47" i="28" a="1"/>
  <c r="F104" i="28" a="1"/>
  <c r="K72" i="28" a="1"/>
  <c r="K41" i="28" a="1"/>
  <c r="K31" i="28" a="1"/>
  <c r="K22" i="28" a="1"/>
  <c r="I87" i="28" a="1"/>
  <c r="I72" i="28" a="1"/>
  <c r="I60" i="28" a="1"/>
  <c r="I40" i="28" a="1"/>
  <c r="I26" i="28" a="1"/>
  <c r="N97" i="28" a="1"/>
  <c r="N82" i="28" a="1"/>
  <c r="N69" i="28" a="1"/>
  <c r="N54" i="28" a="1"/>
  <c r="N45" i="28" a="1"/>
  <c r="N35" i="28" a="1"/>
  <c r="N23" i="28" a="1"/>
  <c r="H92" i="28" a="1"/>
  <c r="E94" i="28" a="1"/>
  <c r="E53" i="28" a="1"/>
  <c r="J23" i="28" a="1"/>
  <c r="O86" i="28" a="1"/>
  <c r="O28" i="28" a="1"/>
  <c r="O100" i="28" a="1"/>
  <c r="M81" i="28" a="1"/>
  <c r="M104" i="28" a="1"/>
  <c r="G86" i="28" a="1"/>
  <c r="F84" i="28" a="1"/>
  <c r="F58" i="28" a="1"/>
  <c r="F29" i="28" a="1"/>
  <c r="K80" i="28" a="1"/>
  <c r="K56" i="28" a="1"/>
  <c r="K30" i="28" a="1"/>
  <c r="I71" i="28" a="1"/>
  <c r="I24" i="28" a="1"/>
  <c r="N68" i="28" a="1"/>
  <c r="H44" i="28" a="1"/>
  <c r="E102" i="28" a="1"/>
  <c r="O50" i="28" a="1"/>
  <c r="M91" i="28" a="1"/>
  <c r="M48" i="28" a="1"/>
  <c r="G60" i="28" a="1"/>
  <c r="F94" i="28" a="1"/>
  <c r="F70" i="28" a="1"/>
  <c r="F38" i="28" a="1"/>
  <c r="K96" i="28" a="1"/>
  <c r="K64" i="28" a="1"/>
  <c r="K36" i="28" a="1"/>
  <c r="I97" i="28" a="1"/>
  <c r="I66" i="28" a="1"/>
  <c r="I30" i="28" a="1"/>
  <c r="N90" i="28" a="1"/>
  <c r="N47" i="28" a="1"/>
  <c r="H40" i="28" a="1"/>
  <c r="J53" i="28" a="1"/>
  <c r="O84" i="28" a="1"/>
  <c r="O40" i="28" a="1"/>
  <c r="G88" i="28" a="1"/>
  <c r="G43" i="28" a="1"/>
  <c r="F90" i="28" a="1"/>
  <c r="F65" i="28" a="1"/>
  <c r="F32" i="28" a="1"/>
  <c r="K85" i="28" a="1"/>
  <c r="K59" i="28" a="1"/>
  <c r="I62" i="28" a="1"/>
  <c r="I28" i="28" a="1"/>
  <c r="N65" i="28" a="1"/>
  <c r="D94" i="13" a="1"/>
  <c r="D87" i="13" a="1"/>
  <c r="D78" i="13" a="1"/>
  <c r="D70" i="13" a="1"/>
  <c r="D60" i="13" a="1"/>
  <c r="D52" i="13" a="1"/>
  <c r="D42" i="13" a="1"/>
  <c r="D34" i="13" a="1"/>
  <c r="D24" i="13" a="1"/>
  <c r="D16" i="13" a="1"/>
  <c r="F99" i="13" a="1"/>
  <c r="F90" i="13" a="1"/>
  <c r="F81" i="13" a="1"/>
  <c r="F74" i="13" a="1"/>
  <c r="F64" i="13" a="1"/>
  <c r="F56" i="13" a="1"/>
  <c r="F46" i="13" a="1"/>
  <c r="F38" i="13" a="1"/>
  <c r="F28" i="13" a="1"/>
  <c r="F20" i="13" a="1"/>
  <c r="F103" i="13" a="1"/>
  <c r="G95" i="13" a="1"/>
  <c r="G86" i="13" a="1"/>
  <c r="G72" i="13" a="1"/>
  <c r="G63" i="13" a="1"/>
  <c r="E96" i="28" a="1"/>
  <c r="L95" i="28" a="1"/>
  <c r="J52" i="28" a="1"/>
  <c r="O83" i="28" a="1"/>
  <c r="G87" i="28" a="1"/>
  <c r="G42" i="28" a="1"/>
  <c r="F86" i="28" a="1"/>
  <c r="F60" i="28" a="1"/>
  <c r="F30" i="28" a="1"/>
  <c r="K82" i="28" a="1"/>
  <c r="K57" i="28" a="1"/>
  <c r="I86" i="28" a="1"/>
  <c r="I59" i="28" a="1"/>
  <c r="N89" i="28" a="1"/>
  <c r="N64" i="28" a="1"/>
  <c r="N43" i="28" a="1"/>
  <c r="N30" i="28" a="1"/>
  <c r="G79" i="13" a="1"/>
  <c r="J51" i="28" a="1"/>
  <c r="M32" i="28" a="1"/>
  <c r="G33" i="28" a="1"/>
  <c r="K28" i="28" a="1"/>
  <c r="I84" i="28" a="1"/>
  <c r="I57" i="28" a="1"/>
  <c r="N84" i="28" a="1"/>
  <c r="N42" i="28" a="1"/>
  <c r="N28" i="28" a="1"/>
  <c r="D93" i="13" a="1"/>
  <c r="D85" i="13" a="1"/>
  <c r="D77" i="13" a="1"/>
  <c r="D68" i="13" a="1"/>
  <c r="D59" i="13" a="1"/>
  <c r="D50" i="13" a="1"/>
  <c r="D41" i="13" a="1"/>
  <c r="D32" i="13" a="1"/>
  <c r="D23" i="13" a="1"/>
  <c r="D14" i="13" a="1"/>
  <c r="F97" i="13" a="1"/>
  <c r="F89" i="13" a="1"/>
  <c r="F80" i="13" a="1"/>
  <c r="F72" i="13" a="1"/>
  <c r="F63" i="13" a="1"/>
  <c r="F54" i="13" a="1"/>
  <c r="F45" i="13" a="1"/>
  <c r="F36" i="13" a="1"/>
  <c r="F27" i="13" a="1"/>
  <c r="F18" i="13" a="1"/>
  <c r="F102" i="13" a="1"/>
  <c r="G93" i="13" a="1"/>
  <c r="G85" i="13" a="1"/>
  <c r="H91" i="28" a="1"/>
  <c r="L71" i="28" a="1"/>
  <c r="J95" i="28" a="1"/>
  <c r="J45" i="28" a="1"/>
  <c r="O73" i="28" a="1"/>
  <c r="O25" i="28" a="1"/>
  <c r="G82" i="28" a="1"/>
  <c r="G32" i="28" a="1"/>
  <c r="F82" i="28" a="1"/>
  <c r="F56" i="28" a="1"/>
  <c r="F27" i="28" a="1"/>
  <c r="K78" i="28" a="1"/>
  <c r="K54" i="28" a="1"/>
  <c r="I80" i="28" a="1"/>
  <c r="I106" i="28" a="1"/>
  <c r="N80" i="28" a="1"/>
  <c r="N56" i="28" a="1"/>
  <c r="N40" i="28" a="1"/>
  <c r="N106" i="28" a="1"/>
  <c r="D92" i="13" a="1"/>
  <c r="D83" i="13" a="1"/>
  <c r="D76" i="13" a="1"/>
  <c r="D66" i="13" a="1"/>
  <c r="D58" i="13" a="1"/>
  <c r="D48" i="13" a="1"/>
  <c r="D40" i="13" a="1"/>
  <c r="D30" i="13" a="1"/>
  <c r="D22" i="13" a="1"/>
  <c r="D12" i="13" a="1"/>
  <c r="F96" i="13" a="1"/>
  <c r="F87" i="13" a="1"/>
  <c r="F8" i="13" a="1"/>
  <c r="F70" i="13" a="1"/>
  <c r="F62" i="13" a="1"/>
  <c r="F52" i="13" a="1"/>
  <c r="H89" i="28" a="1"/>
  <c r="J24" i="28" a="1"/>
  <c r="O65" i="28" a="1"/>
  <c r="O24" i="28" a="1"/>
  <c r="M70" i="28" a="1"/>
  <c r="M30" i="28" a="1"/>
  <c r="G31" i="28" a="1"/>
  <c r="K26" i="28" a="1"/>
  <c r="I79" i="28" a="1"/>
  <c r="I50" i="28" a="1"/>
  <c r="N76" i="28" a="1"/>
  <c r="N55" i="28" a="1"/>
  <c r="N39" i="28" a="1"/>
  <c r="G76" i="13" a="1"/>
  <c r="G68" i="13" a="1"/>
  <c r="G52" i="13" a="1"/>
  <c r="G44" i="13" a="1"/>
  <c r="G37" i="13" a="1"/>
  <c r="G30" i="13" a="1"/>
  <c r="G15" i="13" a="1"/>
  <c r="G101" i="13" a="1"/>
  <c r="E75" i="13" a="1"/>
  <c r="E68" i="13" a="1"/>
  <c r="E61" i="13" a="1"/>
  <c r="E54" i="13" a="1"/>
  <c r="E39" i="13" a="1"/>
  <c r="E32" i="13" a="1"/>
  <c r="E25" i="13" a="1"/>
  <c r="E18" i="13" a="1"/>
  <c r="C88" i="13" a="1"/>
  <c r="C81" i="13" a="1"/>
  <c r="C75" i="13" a="1"/>
  <c r="C60" i="13" a="1"/>
  <c r="C53" i="13" a="1"/>
  <c r="C46" i="13" a="1"/>
  <c r="C39" i="13" a="1"/>
  <c r="C24" i="13" a="1"/>
  <c r="G51" i="13" a="1"/>
  <c r="G29" i="13" a="1"/>
  <c r="E88" i="13" a="1"/>
  <c r="E53" i="13" a="1"/>
  <c r="H85" i="28" a="1"/>
  <c r="L64" i="28" a="1"/>
  <c r="J94" i="28" a="1"/>
  <c r="J22" i="28" a="1"/>
  <c r="O103" i="28" a="1"/>
  <c r="M23" i="28" a="1"/>
  <c r="G73" i="28" a="1"/>
  <c r="K23" i="28" a="1"/>
  <c r="I105" i="28" a="1"/>
  <c r="N53" i="28" a="1"/>
  <c r="N37" i="28" a="1"/>
  <c r="N102" i="28" a="1"/>
  <c r="D90" i="13" a="1"/>
  <c r="D82" i="13" a="1"/>
  <c r="D74" i="13" a="1"/>
  <c r="D65" i="13" a="1"/>
  <c r="D56" i="13" a="1"/>
  <c r="D47" i="13" a="1"/>
  <c r="D38" i="13" a="1"/>
  <c r="D29" i="13" a="1"/>
  <c r="D20" i="13" a="1"/>
  <c r="D11" i="13" a="1"/>
  <c r="F94" i="13" a="1"/>
  <c r="F86" i="13" a="1"/>
  <c r="F78" i="13" a="1"/>
  <c r="F69" i="13" a="1"/>
  <c r="F60" i="13" a="1"/>
  <c r="F51" i="13" a="1"/>
  <c r="F42" i="13" a="1"/>
  <c r="F33" i="13" a="1"/>
  <c r="F24" i="13" a="1"/>
  <c r="F15" i="13" a="1"/>
  <c r="F10" i="13" a="1"/>
  <c r="G90" i="13" a="1"/>
  <c r="G83" i="13" a="1"/>
  <c r="G75" i="13" a="1"/>
  <c r="G60" i="13" a="1"/>
  <c r="G22" i="13" a="1"/>
  <c r="E81" i="13" a="1"/>
  <c r="E46" i="13" a="1"/>
  <c r="L90" i="28" a="1"/>
  <c r="J105" i="28" a="1"/>
  <c r="G67" i="28" a="1"/>
  <c r="K79" i="28" a="1"/>
  <c r="K104" i="28" a="1"/>
  <c r="I34" i="28" a="1"/>
  <c r="N52" i="28" a="1"/>
  <c r="N101" i="28" a="1"/>
  <c r="D81" i="13" a="1"/>
  <c r="D64" i="13" a="1"/>
  <c r="D46" i="13" a="1"/>
  <c r="D28" i="13" a="1"/>
  <c r="D103" i="13" a="1"/>
  <c r="F85" i="13" a="1"/>
  <c r="F68" i="13" a="1"/>
  <c r="F50" i="13" a="1"/>
  <c r="F34" i="13" a="1"/>
  <c r="G82" i="13" a="1"/>
  <c r="G42" i="13" a="1"/>
  <c r="G33" i="13" a="1"/>
  <c r="G25" i="13" a="1"/>
  <c r="G100" i="13" a="1"/>
  <c r="E85" i="13" a="1"/>
  <c r="E78" i="13" a="1"/>
  <c r="E69" i="13" a="1"/>
  <c r="E60" i="13" a="1"/>
  <c r="E51" i="13" a="1"/>
  <c r="E43" i="13" a="1"/>
  <c r="E26" i="13" a="1"/>
  <c r="E17" i="13" a="1"/>
  <c r="E101" i="13" a="1"/>
  <c r="C86" i="13" a="1"/>
  <c r="C79" i="13" a="1"/>
  <c r="C71" i="13" a="1"/>
  <c r="C40" i="13" a="1"/>
  <c r="C32" i="13" a="1"/>
  <c r="C102" i="13" a="1"/>
  <c r="C31" i="13" a="1"/>
  <c r="C23" i="13" a="1"/>
  <c r="E91" i="13" a="1"/>
  <c r="E33" i="13" a="1"/>
  <c r="E16" i="13" a="1"/>
  <c r="C70" i="13" a="1"/>
  <c r="C38" i="13" a="1"/>
  <c r="C30" i="13" a="1"/>
  <c r="G58" i="13" a="1"/>
  <c r="G49" i="13" a="1"/>
  <c r="G23" i="13" a="1"/>
  <c r="E76" i="13" a="1"/>
  <c r="E58" i="13" a="1"/>
  <c r="E23" i="13" a="1"/>
  <c r="C77" i="13" a="1"/>
  <c r="C15" i="13" a="1"/>
  <c r="E48" i="13" a="1"/>
  <c r="C59" i="13" a="1"/>
  <c r="N74" i="28" a="1"/>
  <c r="D71" i="13" a="1"/>
  <c r="F75" i="13" a="1"/>
  <c r="G36" i="13" a="1"/>
  <c r="G19" i="13" a="1"/>
  <c r="E8" i="13" a="1"/>
  <c r="C58" i="13" a="1"/>
  <c r="F102" i="28" a="1"/>
  <c r="N31" i="28" a="1"/>
  <c r="F101" i="13" a="1"/>
  <c r="G87" i="13" a="1"/>
  <c r="G103" i="13" a="1"/>
  <c r="C12" i="13" a="1"/>
  <c r="M80" i="28" a="1"/>
  <c r="G64" i="28" a="1"/>
  <c r="F71" i="28" a="1"/>
  <c r="K70" i="28" a="1"/>
  <c r="I99" i="28" a="1"/>
  <c r="I22" i="28" a="1"/>
  <c r="N51" i="28" a="1"/>
  <c r="F17" i="13" a="1"/>
  <c r="G96" i="13" a="1"/>
  <c r="G81" i="13" a="1"/>
  <c r="G71" i="13" a="1"/>
  <c r="G61" i="13" a="1"/>
  <c r="G50" i="13" a="1"/>
  <c r="G41" i="13" a="1"/>
  <c r="G16" i="13" a="1"/>
  <c r="E92" i="13" a="1"/>
  <c r="E77" i="13" a="1"/>
  <c r="E59" i="13" a="1"/>
  <c r="E34" i="13" a="1"/>
  <c r="C92" i="13" a="1"/>
  <c r="C85" i="13" a="1"/>
  <c r="C78" i="13" a="1"/>
  <c r="C63" i="13" a="1"/>
  <c r="C55" i="13" a="1"/>
  <c r="C47" i="13" a="1"/>
  <c r="C16" i="13" a="1"/>
  <c r="G24" i="13" a="1"/>
  <c r="G10" i="13" a="1"/>
  <c r="E84" i="13" a="1"/>
  <c r="E50" i="13" a="1"/>
  <c r="E42" i="13" a="1"/>
  <c r="E24" i="13" a="1"/>
  <c r="C62" i="13" a="1"/>
  <c r="G69" i="13" a="1"/>
  <c r="E99" i="13" a="1"/>
  <c r="E41" i="13" a="1"/>
  <c r="C91" i="13" a="1"/>
  <c r="C22" i="13" a="1"/>
  <c r="E21" i="13" a="1"/>
  <c r="J69" i="28" a="1"/>
  <c r="N32" i="28" a="1"/>
  <c r="D35" i="13" a="1"/>
  <c r="E55" i="13" a="1"/>
  <c r="C42" i="13" a="1"/>
  <c r="K37" i="28" a="1"/>
  <c r="F22" i="13" a="1"/>
  <c r="E71" i="13" a="1"/>
  <c r="C80" i="13" a="1"/>
  <c r="C34" i="13" a="1"/>
  <c r="E49" i="28" a="1"/>
  <c r="H95" i="28" a="1"/>
  <c r="L63" i="28" a="1"/>
  <c r="O90" i="28" a="1"/>
  <c r="M52" i="28" a="1"/>
  <c r="G62" i="28" a="1"/>
  <c r="F57" i="28" a="1"/>
  <c r="K69" i="28" a="1"/>
  <c r="N99" i="28" a="1"/>
  <c r="D97" i="13" a="1"/>
  <c r="D8" i="13" a="1"/>
  <c r="D62" i="13" a="1"/>
  <c r="D44" i="13" a="1"/>
  <c r="D26" i="13" a="1"/>
  <c r="D100" i="13" a="1"/>
  <c r="F83" i="13" a="1"/>
  <c r="F66" i="13" a="1"/>
  <c r="F48" i="13" a="1"/>
  <c r="F32" i="13" a="1"/>
  <c r="F16" i="13" a="1"/>
  <c r="G80" i="13" a="1"/>
  <c r="G70" i="13" a="1"/>
  <c r="G59" i="13" a="1"/>
  <c r="G32" i="13" a="1"/>
  <c r="G14" i="13" a="1"/>
  <c r="E67" i="13" a="1"/>
  <c r="E10" i="13" a="1"/>
  <c r="C54" i="13" a="1"/>
  <c r="C10" i="13" a="1"/>
  <c r="G40" i="13" a="1"/>
  <c r="C84" i="13" a="1"/>
  <c r="E38" i="13" a="1"/>
  <c r="C67" i="13" a="1"/>
  <c r="I53" i="28" a="1"/>
  <c r="E87" i="13" a="1"/>
  <c r="O75" i="28" a="1"/>
  <c r="F46" i="28" a="1"/>
  <c r="N98" i="28" a="1"/>
  <c r="N49" i="28" a="1"/>
  <c r="D95" i="13" a="1"/>
  <c r="D79" i="13" a="1"/>
  <c r="D61" i="13" a="1"/>
  <c r="D43" i="13" a="1"/>
  <c r="D25" i="13" a="1"/>
  <c r="D10" i="13" a="1"/>
  <c r="F82" i="13" a="1"/>
  <c r="F65" i="13" a="1"/>
  <c r="F47" i="13" a="1"/>
  <c r="G92" i="13" a="1"/>
  <c r="E15" i="13" a="1"/>
  <c r="E30" i="13" a="1"/>
  <c r="E50" i="28" a="1"/>
  <c r="D53" i="13" a="1"/>
  <c r="F57" i="13" a="1"/>
  <c r="G65" i="13" a="1"/>
  <c r="E37" i="13" a="1"/>
  <c r="N72" i="28" a="1"/>
  <c r="C95" i="13" a="1"/>
  <c r="L35" i="28" a="1"/>
  <c r="O64" i="28" a="1"/>
  <c r="M49" i="28" a="1"/>
  <c r="F45" i="28" a="1"/>
  <c r="K65" i="28" a="1"/>
  <c r="N94" i="28" a="1"/>
  <c r="F30" i="13" a="1"/>
  <c r="F14" i="13" a="1"/>
  <c r="G91" i="13" a="1"/>
  <c r="G8" i="13" a="1"/>
  <c r="G57" i="13" a="1"/>
  <c r="G39" i="13" a="1"/>
  <c r="G31" i="13" a="1"/>
  <c r="G21" i="13" a="1"/>
  <c r="G13" i="13" a="1"/>
  <c r="E90" i="13" a="1"/>
  <c r="E83" i="13" a="1"/>
  <c r="E74" i="13" a="1"/>
  <c r="E66" i="13" a="1"/>
  <c r="E57" i="13" a="1"/>
  <c r="E49" i="13" a="1"/>
  <c r="E31" i="13" a="1"/>
  <c r="C98" i="13" a="1"/>
  <c r="C90" i="13" a="1"/>
  <c r="C83" i="13" a="1"/>
  <c r="C69" i="13" a="1"/>
  <c r="C61" i="13" a="1"/>
  <c r="C45" i="13" a="1"/>
  <c r="C37" i="13" a="1"/>
  <c r="C29" i="13" a="1"/>
  <c r="G12" i="13" a="1"/>
  <c r="E73" i="13" a="1"/>
  <c r="C97" i="13" a="1"/>
  <c r="C20" i="13" a="1"/>
  <c r="F91" i="13" a="1"/>
  <c r="G88" i="13" a="1"/>
  <c r="G27" i="13" a="1"/>
  <c r="E96" i="13" a="1"/>
  <c r="E45" i="13" a="1"/>
  <c r="C19" i="13" a="1"/>
  <c r="G64" i="13" a="1"/>
  <c r="C65" i="13" a="1"/>
  <c r="H45" i="28" a="1"/>
  <c r="J96" i="28" a="1"/>
  <c r="F99" i="28" a="1"/>
  <c r="K55" i="28" a="1"/>
  <c r="I69" i="28" a="1"/>
  <c r="N93" i="28" a="1"/>
  <c r="D9" i="13" a="1"/>
  <c r="D73" i="13" a="1"/>
  <c r="D55" i="13" a="1"/>
  <c r="D37" i="13" a="1"/>
  <c r="D19" i="13" a="1"/>
  <c r="F93" i="13" a="1"/>
  <c r="F77" i="13" a="1"/>
  <c r="F59" i="13" a="1"/>
  <c r="F44" i="13" a="1"/>
  <c r="F29" i="13" a="1"/>
  <c r="G67" i="13" a="1"/>
  <c r="G48" i="13" a="1"/>
  <c r="E98" i="13" a="1"/>
  <c r="E82" i="13" a="1"/>
  <c r="E65" i="13" a="1"/>
  <c r="E40" i="13" a="1"/>
  <c r="E22" i="13" a="1"/>
  <c r="E14" i="13" a="1"/>
  <c r="C76" i="13" a="1"/>
  <c r="C68" i="13" a="1"/>
  <c r="C52" i="13" a="1"/>
  <c r="C44" i="13" a="1"/>
  <c r="C36" i="13" a="1"/>
  <c r="C21" i="13" a="1"/>
  <c r="C14" i="13" a="1"/>
  <c r="D72" i="13" a="1"/>
  <c r="D18" i="13" a="1"/>
  <c r="F92" i="13" a="1"/>
  <c r="F58" i="13" a="1"/>
  <c r="F12" i="13" a="1"/>
  <c r="G9" i="13" a="1"/>
  <c r="G78" i="13" a="1"/>
  <c r="G56" i="13" a="1"/>
  <c r="G38" i="13" a="1"/>
  <c r="G20" i="13" a="1"/>
  <c r="E97" i="13" a="1"/>
  <c r="E80" i="13" a="1"/>
  <c r="E56" i="13" a="1"/>
  <c r="C9" i="13" a="1"/>
  <c r="C28" i="13" a="1"/>
  <c r="C13" i="13" a="1"/>
  <c r="F103" i="28" a="1"/>
  <c r="D88" i="13" a="1"/>
  <c r="F23" i="13" a="1"/>
  <c r="G55" i="13" a="1"/>
  <c r="E72" i="13" a="1"/>
  <c r="E20" i="13" a="1"/>
  <c r="I39" i="28" a="1"/>
  <c r="F39" i="13" a="1"/>
  <c r="E12" i="13" a="1"/>
  <c r="C26" i="13" a="1"/>
  <c r="O51" i="28" a="1"/>
  <c r="F98" i="28" a="1"/>
  <c r="F39" i="28" a="1"/>
  <c r="K39" i="28" a="1"/>
  <c r="I67" i="28" a="1"/>
  <c r="D89" i="13" a="1"/>
  <c r="D54" i="13" a="1"/>
  <c r="D36" i="13" a="1"/>
  <c r="F76" i="13" a="1"/>
  <c r="F41" i="13" a="1"/>
  <c r="G47" i="13" a="1"/>
  <c r="E9" i="13" a="1"/>
  <c r="C82" i="13" a="1"/>
  <c r="D17" i="13" a="1"/>
  <c r="G45" i="13" a="1"/>
  <c r="E63" i="13" a="1"/>
  <c r="C50" i="13" a="1"/>
  <c r="G35" i="13" a="1"/>
  <c r="C73" i="13" a="1"/>
  <c r="E90" i="28" a="1"/>
  <c r="J71" i="28" a="1"/>
  <c r="F28" i="28" a="1"/>
  <c r="K38" i="28" a="1"/>
  <c r="N75" i="28" a="1"/>
  <c r="N33" i="28" a="1"/>
  <c r="F40" i="13" a="1"/>
  <c r="F26" i="13" a="1"/>
  <c r="F11" i="13" a="1"/>
  <c r="G77" i="13" a="1"/>
  <c r="G66" i="13" a="1"/>
  <c r="G46" i="13" a="1"/>
  <c r="G28" i="13" a="1"/>
  <c r="G11" i="13" a="1"/>
  <c r="E64" i="13" a="1"/>
  <c r="E47" i="13" a="1"/>
  <c r="E29" i="13" a="1"/>
  <c r="E13" i="13" a="1"/>
  <c r="C96" i="13" a="1"/>
  <c r="C89" i="13" a="1"/>
  <c r="C74" i="13" a="1"/>
  <c r="C66" i="13" a="1"/>
  <c r="C51" i="13" a="1"/>
  <c r="C43" i="13" a="1"/>
  <c r="C35" i="13" a="1"/>
  <c r="F96" i="28" a="1"/>
  <c r="C27" i="13" a="1"/>
  <c r="F83" i="28" a="1"/>
  <c r="G74" i="13" a="1"/>
  <c r="E28" i="13" a="1"/>
  <c r="K27" i="28" a="1"/>
  <c r="D49" i="13" a="1"/>
  <c r="G54" i="13" a="1"/>
  <c r="E94" i="13" a="1"/>
  <c r="E44" i="13" a="1"/>
  <c r="C87" i="13" a="1"/>
  <c r="C41" i="13" a="1"/>
  <c r="K106" i="28" a="1"/>
  <c r="F35" i="13" a="1"/>
  <c r="E93" i="13" a="1"/>
  <c r="E42" i="28" a="1"/>
  <c r="I35" i="28" a="1"/>
  <c r="D31" i="13" a="1"/>
  <c r="G43" i="13" a="1"/>
  <c r="E86" i="13" a="1"/>
  <c r="E36" i="13" a="1"/>
  <c r="C8" i="13" a="1"/>
  <c r="E27" i="13" a="1"/>
  <c r="E70" i="13" a="1"/>
  <c r="E11" i="13" a="1"/>
  <c r="G73" i="13" a="1"/>
  <c r="D67" i="13" a="1"/>
  <c r="K99" i="28" a="1"/>
  <c r="F21" i="13" a="1"/>
  <c r="E35" i="13" a="1"/>
  <c r="C33" i="13" a="1"/>
  <c r="C64" i="13" a="1"/>
  <c r="G18" i="13" a="1"/>
  <c r="G17" i="13" a="1"/>
  <c r="C49" i="13" a="1"/>
  <c r="C93" i="13" a="1"/>
  <c r="G53" i="13" a="1"/>
  <c r="D13" i="13" a="1"/>
  <c r="G98" i="13" a="1"/>
  <c r="E79" i="13" a="1"/>
  <c r="C72" i="13" a="1"/>
  <c r="C25" i="13" a="1"/>
  <c r="F75" i="28" a="1"/>
  <c r="E62" i="13" a="1"/>
  <c r="E102" i="13" a="1"/>
  <c r="F53" i="13" a="1"/>
  <c r="M94" i="28" a="1"/>
  <c r="N60" i="28" a="1"/>
  <c r="G97" i="13" a="1"/>
  <c r="G34" i="13" a="1"/>
  <c r="C17" i="13" a="1"/>
  <c r="F71" i="13" a="1"/>
  <c r="C57" i="13" a="1"/>
  <c r="C56" i="13" a="1"/>
  <c r="G102" i="13" a="1"/>
  <c r="G62" i="13" a="1"/>
  <c r="C48" i="13" a="1"/>
  <c r="G98" i="28" a="1"/>
  <c r="N25" i="28" a="1"/>
  <c r="F88" i="13" a="1"/>
  <c r="G26" i="13" a="1"/>
  <c r="E19" i="13" a="1"/>
  <c r="C18" i="13" a="1"/>
  <c r="D84" i="13" a="1"/>
  <c r="F73" i="28" a="1"/>
  <c r="G84" i="28" a="1"/>
  <c r="G84" i="13" a="1"/>
  <c r="C11" i="13" a="1"/>
  <c r="E52" i="13" a="1"/>
  <c r="E52" i="13" l="1"/>
  <c r="C11" i="13"/>
  <c r="G84" i="13"/>
  <c r="G84" i="28"/>
  <c r="F73" i="28"/>
  <c r="D84" i="13"/>
  <c r="C18" i="13"/>
  <c r="E19" i="13"/>
  <c r="G26" i="13"/>
  <c r="F88" i="13"/>
  <c r="N25" i="28"/>
  <c r="G98" i="28"/>
  <c r="C48" i="13"/>
  <c r="G62" i="13"/>
  <c r="G102" i="13"/>
  <c r="C56" i="13"/>
  <c r="C57" i="13"/>
  <c r="F71" i="13"/>
  <c r="C17" i="13"/>
  <c r="G34" i="13"/>
  <c r="G97" i="13"/>
  <c r="N60" i="28"/>
  <c r="M94" i="28"/>
  <c r="F53" i="13"/>
  <c r="E102" i="13"/>
  <c r="E62" i="13"/>
  <c r="F75" i="28"/>
  <c r="C25" i="13"/>
  <c r="C72" i="13"/>
  <c r="E79" i="13"/>
  <c r="G98" i="13"/>
  <c r="D13" i="13"/>
  <c r="G53" i="13"/>
  <c r="C93" i="13"/>
  <c r="C49" i="13"/>
  <c r="G17" i="13"/>
  <c r="G18" i="13"/>
  <c r="C64" i="13"/>
  <c r="C33" i="13"/>
  <c r="E35" i="13"/>
  <c r="F21" i="13"/>
  <c r="K99" i="28"/>
  <c r="D67" i="13"/>
  <c r="G73" i="13"/>
  <c r="E11" i="13"/>
  <c r="E70" i="13"/>
  <c r="E27" i="13"/>
  <c r="C8" i="13"/>
  <c r="E36" i="13"/>
  <c r="E86" i="13"/>
  <c r="G43" i="13"/>
  <c r="D31" i="13"/>
  <c r="I35" i="28"/>
  <c r="E42" i="28"/>
  <c r="E93" i="13"/>
  <c r="F35" i="13"/>
  <c r="K106" i="28"/>
  <c r="C41" i="13"/>
  <c r="C87" i="13"/>
  <c r="E44" i="13"/>
  <c r="E94" i="13"/>
  <c r="G54" i="13"/>
  <c r="D49" i="13"/>
  <c r="K27" i="28"/>
  <c r="E28" i="13"/>
  <c r="G74" i="13"/>
  <c r="F83" i="28"/>
  <c r="C27" i="13"/>
  <c r="F96" i="28"/>
  <c r="C35" i="13"/>
  <c r="C43" i="13"/>
  <c r="C51" i="13"/>
  <c r="C66" i="13"/>
  <c r="C74" i="13"/>
  <c r="C89" i="13"/>
  <c r="C96" i="13"/>
  <c r="E13" i="13"/>
  <c r="E29" i="13"/>
  <c r="E47" i="13"/>
  <c r="E64" i="13"/>
  <c r="G11" i="13"/>
  <c r="G28" i="13"/>
  <c r="G46" i="13"/>
  <c r="G66" i="13"/>
  <c r="G77" i="13"/>
  <c r="F11" i="13"/>
  <c r="F26" i="13"/>
  <c r="F40" i="13"/>
  <c r="N33" i="28"/>
  <c r="N75" i="28"/>
  <c r="K38" i="28"/>
  <c r="F28" i="28"/>
  <c r="J71" i="28"/>
  <c r="E90" i="28"/>
  <c r="C73" i="13"/>
  <c r="G35" i="13"/>
  <c r="C50" i="13"/>
  <c r="E63" i="13"/>
  <c r="G45" i="13"/>
  <c r="D17" i="13"/>
  <c r="C82" i="13"/>
  <c r="E9" i="13"/>
  <c r="G47" i="13"/>
  <c r="F41" i="13"/>
  <c r="F76" i="13"/>
  <c r="D36" i="13"/>
  <c r="D54" i="13"/>
  <c r="D89" i="13"/>
  <c r="I67" i="28"/>
  <c r="K39" i="28"/>
  <c r="F39" i="28"/>
  <c r="F98" i="28"/>
  <c r="O51" i="28"/>
  <c r="C26" i="13"/>
  <c r="E12" i="13"/>
  <c r="F39" i="13"/>
  <c r="I39" i="28"/>
  <c r="E20" i="13"/>
  <c r="E72" i="13"/>
  <c r="G55" i="13"/>
  <c r="F23" i="13"/>
  <c r="D88" i="13"/>
  <c r="F103" i="28"/>
  <c r="C13" i="13"/>
  <c r="C28" i="13"/>
  <c r="C9" i="13"/>
  <c r="E56" i="13"/>
  <c r="E80" i="13"/>
  <c r="E97" i="13"/>
  <c r="G20" i="13"/>
  <c r="G38" i="13"/>
  <c r="G56" i="13"/>
  <c r="G78" i="13"/>
  <c r="G9" i="13"/>
  <c r="F12" i="13"/>
  <c r="F58" i="13"/>
  <c r="F92" i="13"/>
  <c r="D18" i="13"/>
  <c r="D72" i="13"/>
  <c r="C14" i="13"/>
  <c r="C21" i="13"/>
  <c r="C36" i="13"/>
  <c r="C44" i="13"/>
  <c r="C52" i="13"/>
  <c r="C68" i="13"/>
  <c r="C76" i="13"/>
  <c r="E14" i="13"/>
  <c r="E22" i="13"/>
  <c r="E40" i="13"/>
  <c r="E65" i="13"/>
  <c r="E82" i="13"/>
  <c r="E98" i="13"/>
  <c r="G48" i="13"/>
  <c r="G67" i="13"/>
  <c r="F29" i="13"/>
  <c r="F44" i="13"/>
  <c r="F59" i="13"/>
  <c r="F77" i="13"/>
  <c r="F93" i="13"/>
  <c r="D19" i="13"/>
  <c r="D37" i="13"/>
  <c r="D55" i="13"/>
  <c r="D73" i="13"/>
  <c r="D9" i="13"/>
  <c r="N93" i="28"/>
  <c r="I69" i="28"/>
  <c r="K55" i="28"/>
  <c r="F99" i="28"/>
  <c r="J96" i="28"/>
  <c r="H45" i="28"/>
  <c r="C65" i="13"/>
  <c r="G64" i="13"/>
  <c r="C19" i="13"/>
  <c r="E45" i="13"/>
  <c r="E96" i="13"/>
  <c r="G27" i="13"/>
  <c r="G88" i="13"/>
  <c r="F91" i="13"/>
  <c r="C20" i="13"/>
  <c r="C97" i="13"/>
  <c r="E73" i="13"/>
  <c r="G12" i="13"/>
  <c r="C29" i="13"/>
  <c r="C37" i="13"/>
  <c r="C45" i="13"/>
  <c r="C61" i="13"/>
  <c r="C69" i="13"/>
  <c r="C83" i="13"/>
  <c r="C90" i="13"/>
  <c r="C98" i="13"/>
  <c r="E31" i="13"/>
  <c r="E49" i="13"/>
  <c r="E57" i="13"/>
  <c r="E66" i="13"/>
  <c r="E74" i="13"/>
  <c r="E83" i="13"/>
  <c r="E90" i="13"/>
  <c r="G13" i="13"/>
  <c r="G21" i="13"/>
  <c r="G31" i="13"/>
  <c r="G39" i="13"/>
  <c r="G57" i="13"/>
  <c r="G8" i="13"/>
  <c r="G91" i="13"/>
  <c r="F14" i="13"/>
  <c r="F30" i="13"/>
  <c r="N94" i="28"/>
  <c r="K65" i="28"/>
  <c r="F45" i="28"/>
  <c r="M49" i="28"/>
  <c r="O64" i="28"/>
  <c r="L35" i="28"/>
  <c r="C95" i="13"/>
  <c r="N72" i="28"/>
  <c r="E37" i="13"/>
  <c r="G65" i="13"/>
  <c r="F57" i="13"/>
  <c r="D53" i="13"/>
  <c r="E50" i="28"/>
  <c r="E30" i="13"/>
  <c r="E15" i="13"/>
  <c r="G92" i="13"/>
  <c r="F47" i="13"/>
  <c r="F65" i="13"/>
  <c r="F82" i="13"/>
  <c r="D10" i="13"/>
  <c r="D25" i="13"/>
  <c r="D43" i="13"/>
  <c r="D61" i="13"/>
  <c r="D79" i="13"/>
  <c r="D95" i="13"/>
  <c r="N49" i="28"/>
  <c r="N98" i="28"/>
  <c r="F46" i="28"/>
  <c r="O75" i="28"/>
  <c r="E87" i="13"/>
  <c r="I53" i="28"/>
  <c r="C67" i="13"/>
  <c r="E38" i="13"/>
  <c r="C84" i="13"/>
  <c r="G40" i="13"/>
  <c r="C10" i="13"/>
  <c r="C54" i="13"/>
  <c r="E10" i="13"/>
  <c r="E67" i="13"/>
  <c r="G14" i="13"/>
  <c r="G32" i="13"/>
  <c r="G59" i="13"/>
  <c r="G70" i="13"/>
  <c r="G80" i="13"/>
  <c r="F16" i="13"/>
  <c r="F32" i="13"/>
  <c r="F48" i="13"/>
  <c r="F66" i="13"/>
  <c r="F83" i="13"/>
  <c r="D100" i="13"/>
  <c r="D26" i="13"/>
  <c r="D44" i="13"/>
  <c r="D62" i="13"/>
  <c r="D8" i="13"/>
  <c r="D97" i="13"/>
  <c r="N99" i="28"/>
  <c r="K69" i="28"/>
  <c r="F57" i="28"/>
  <c r="G62" i="28"/>
  <c r="M52" i="28"/>
  <c r="O90" i="28"/>
  <c r="L63" i="28"/>
  <c r="H95" i="28"/>
  <c r="E49" i="28"/>
  <c r="C34" i="13"/>
  <c r="C80" i="13"/>
  <c r="E71" i="13"/>
  <c r="F22" i="13"/>
  <c r="K37" i="28"/>
  <c r="C42" i="13"/>
  <c r="E55" i="13"/>
  <c r="D35" i="13"/>
  <c r="N32" i="28"/>
  <c r="J69" i="28"/>
  <c r="E21" i="13"/>
  <c r="C22" i="13"/>
  <c r="C91" i="13"/>
  <c r="E41" i="13"/>
  <c r="E99" i="13"/>
  <c r="G69" i="13"/>
  <c r="C62" i="13"/>
  <c r="E24" i="13"/>
  <c r="E42" i="13"/>
  <c r="E50" i="13"/>
  <c r="E84" i="13"/>
  <c r="G10" i="13"/>
  <c r="G24" i="13"/>
  <c r="C16" i="13"/>
  <c r="C47" i="13"/>
  <c r="C55" i="13"/>
  <c r="C63" i="13"/>
  <c r="C78" i="13"/>
  <c r="C85" i="13"/>
  <c r="C92" i="13"/>
  <c r="E34" i="13"/>
  <c r="E59" i="13"/>
  <c r="E77" i="13"/>
  <c r="E92" i="13"/>
  <c r="G16" i="13"/>
  <c r="G41" i="13"/>
  <c r="G50" i="13"/>
  <c r="G61" i="13"/>
  <c r="G71" i="13"/>
  <c r="G81" i="13"/>
  <c r="G96" i="13"/>
  <c r="F17" i="13"/>
  <c r="N51" i="28"/>
  <c r="I22" i="28"/>
  <c r="I99" i="28"/>
  <c r="K70" i="28"/>
  <c r="F71" i="28"/>
  <c r="G64" i="28"/>
  <c r="M80" i="28"/>
  <c r="C12" i="13"/>
  <c r="G103" i="13"/>
  <c r="G87" i="13"/>
  <c r="F101" i="13"/>
  <c r="N31" i="28"/>
  <c r="F102" i="28"/>
  <c r="C58" i="13"/>
  <c r="E8" i="13"/>
  <c r="G19" i="13"/>
  <c r="G36" i="13"/>
  <c r="F75" i="13"/>
  <c r="D71" i="13"/>
  <c r="N74" i="28"/>
  <c r="C59" i="13"/>
  <c r="E48" i="13"/>
  <c r="C15" i="13"/>
  <c r="C77" i="13"/>
  <c r="E23" i="13"/>
  <c r="E58" i="13"/>
  <c r="E76" i="13"/>
  <c r="G23" i="13"/>
  <c r="G49" i="13"/>
  <c r="G58" i="13"/>
  <c r="C30" i="13"/>
  <c r="C38" i="13"/>
  <c r="C70" i="13"/>
  <c r="E16" i="13"/>
  <c r="E33" i="13"/>
  <c r="E91" i="13"/>
  <c r="C23" i="13"/>
  <c r="C31" i="13"/>
  <c r="C102" i="13"/>
  <c r="C32" i="13"/>
  <c r="C40" i="13"/>
  <c r="C71" i="13"/>
  <c r="C79" i="13"/>
  <c r="C86" i="13"/>
  <c r="E101" i="13"/>
  <c r="E17" i="13"/>
  <c r="E26" i="13"/>
  <c r="E43" i="13"/>
  <c r="E51" i="13"/>
  <c r="E60" i="13"/>
  <c r="E69" i="13"/>
  <c r="E78" i="13"/>
  <c r="E85" i="13"/>
  <c r="G100" i="13"/>
  <c r="G25" i="13"/>
  <c r="G33" i="13"/>
  <c r="G42" i="13"/>
  <c r="G82" i="13"/>
  <c r="F34" i="13"/>
  <c r="F50" i="13"/>
  <c r="F68" i="13"/>
  <c r="F85" i="13"/>
  <c r="D103" i="13"/>
  <c r="D28" i="13"/>
  <c r="D46" i="13"/>
  <c r="D64" i="13"/>
  <c r="D81" i="13"/>
  <c r="N101" i="28"/>
  <c r="N52" i="28"/>
  <c r="I34" i="28"/>
  <c r="K104" i="28"/>
  <c r="K79" i="28"/>
  <c r="G67" i="28"/>
  <c r="J105" i="28"/>
  <c r="L90" i="28"/>
  <c r="E46" i="13"/>
  <c r="E81" i="13"/>
  <c r="G22" i="13"/>
  <c r="G60" i="13"/>
  <c r="G75" i="13"/>
  <c r="G83" i="13"/>
  <c r="G90" i="13"/>
  <c r="F10" i="13"/>
  <c r="F15" i="13"/>
  <c r="F24" i="13"/>
  <c r="F33" i="13"/>
  <c r="F42" i="13"/>
  <c r="F51" i="13"/>
  <c r="F60" i="13"/>
  <c r="F69" i="13"/>
  <c r="F78" i="13"/>
  <c r="F86" i="13"/>
  <c r="F94" i="13"/>
  <c r="D11" i="13"/>
  <c r="D20" i="13"/>
  <c r="D29" i="13"/>
  <c r="D38" i="13"/>
  <c r="D47" i="13"/>
  <c r="D56" i="13"/>
  <c r="D65" i="13"/>
  <c r="D74" i="13"/>
  <c r="D82" i="13"/>
  <c r="D90" i="13"/>
  <c r="N102" i="28"/>
  <c r="N37" i="28"/>
  <c r="N53" i="28"/>
  <c r="I105" i="28"/>
  <c r="K23" i="28"/>
  <c r="G73" i="28"/>
  <c r="M23" i="28"/>
  <c r="O103" i="28"/>
  <c r="J22" i="28"/>
  <c r="J94" i="28"/>
  <c r="L64" i="28"/>
  <c r="H85" i="28"/>
  <c r="E53" i="13"/>
  <c r="E88" i="13"/>
  <c r="G29" i="13"/>
  <c r="G51" i="13"/>
  <c r="C24" i="13"/>
  <c r="C39" i="13"/>
  <c r="C46" i="13"/>
  <c r="C53" i="13"/>
  <c r="C60" i="13"/>
  <c r="C75" i="13"/>
  <c r="C81" i="13"/>
  <c r="C88" i="13"/>
  <c r="E18" i="13"/>
  <c r="E25" i="13"/>
  <c r="E32" i="13"/>
  <c r="E39" i="13"/>
  <c r="E54" i="13"/>
  <c r="E61" i="13"/>
  <c r="E68" i="13"/>
  <c r="E75" i="13"/>
  <c r="G101" i="13"/>
  <c r="G15" i="13"/>
  <c r="G30" i="13"/>
  <c r="G37" i="13"/>
  <c r="G44" i="13"/>
  <c r="G52" i="13"/>
  <c r="G68" i="13"/>
  <c r="G76" i="13"/>
  <c r="N39" i="28"/>
  <c r="N55" i="28"/>
  <c r="N76" i="28"/>
  <c r="I50" i="28"/>
  <c r="I79" i="28"/>
  <c r="K26" i="28"/>
  <c r="G31" i="28"/>
  <c r="M30" i="28"/>
  <c r="M70" i="28"/>
  <c r="O24" i="28"/>
  <c r="O65" i="28"/>
  <c r="J24" i="28"/>
  <c r="H89" i="28"/>
  <c r="F52" i="13"/>
  <c r="F62" i="13"/>
  <c r="F70" i="13"/>
  <c r="F8" i="13"/>
  <c r="F87" i="13"/>
  <c r="F96" i="13"/>
  <c r="D12" i="13"/>
  <c r="D22" i="13"/>
  <c r="D30" i="13"/>
  <c r="D40" i="13"/>
  <c r="D48" i="13"/>
  <c r="D58" i="13"/>
  <c r="D66" i="13"/>
  <c r="D76" i="13"/>
  <c r="D83" i="13"/>
  <c r="D92" i="13"/>
  <c r="N106" i="28"/>
  <c r="N40" i="28"/>
  <c r="N56" i="28"/>
  <c r="N80" i="28"/>
  <c r="I106" i="28"/>
  <c r="I80" i="28"/>
  <c r="K54" i="28"/>
  <c r="K78" i="28"/>
  <c r="F27" i="28"/>
  <c r="F56" i="28"/>
  <c r="F82" i="28"/>
  <c r="G32" i="28"/>
  <c r="G82" i="28"/>
  <c r="O25" i="28"/>
  <c r="O73" i="28"/>
  <c r="J45" i="28"/>
  <c r="J95" i="28"/>
  <c r="L71" i="28"/>
  <c r="H91" i="28"/>
  <c r="G85" i="13"/>
  <c r="G93" i="13"/>
  <c r="F102" i="13"/>
  <c r="F18" i="13"/>
  <c r="F27" i="13"/>
  <c r="F36" i="13"/>
  <c r="F45" i="13"/>
  <c r="F54" i="13"/>
  <c r="F63" i="13"/>
  <c r="F72" i="13"/>
  <c r="F80" i="13"/>
  <c r="F89" i="13"/>
  <c r="F97" i="13"/>
  <c r="D14" i="13"/>
  <c r="D23" i="13"/>
  <c r="D32" i="13"/>
  <c r="D41" i="13"/>
  <c r="D50" i="13"/>
  <c r="D59" i="13"/>
  <c r="D68" i="13"/>
  <c r="D77" i="13"/>
  <c r="D85" i="13"/>
  <c r="D93" i="13"/>
  <c r="N28" i="28"/>
  <c r="N42" i="28"/>
  <c r="N84" i="28"/>
  <c r="I57" i="28"/>
  <c r="I84" i="28"/>
  <c r="K28" i="28"/>
  <c r="G33" i="28"/>
  <c r="M32" i="28"/>
  <c r="J51" i="28"/>
  <c r="G79" i="13"/>
  <c r="N30" i="28"/>
  <c r="N43" i="28"/>
  <c r="N64" i="28"/>
  <c r="N89" i="28"/>
  <c r="I59" i="28"/>
  <c r="I86" i="28"/>
  <c r="K57" i="28"/>
  <c r="K82" i="28"/>
  <c r="F30" i="28"/>
  <c r="F60" i="28"/>
  <c r="F86" i="28"/>
  <c r="G42" i="28"/>
  <c r="G87" i="28"/>
  <c r="O83" i="28"/>
  <c r="J52" i="28"/>
  <c r="L95" i="28"/>
  <c r="E96" i="28"/>
  <c r="G63" i="13"/>
  <c r="G72" i="13"/>
  <c r="G86" i="13"/>
  <c r="G95" i="13"/>
  <c r="F103" i="13"/>
  <c r="F20" i="13"/>
  <c r="F28" i="13"/>
  <c r="F38" i="13"/>
  <c r="F46" i="13"/>
  <c r="F56" i="13"/>
  <c r="F64" i="13"/>
  <c r="F74" i="13"/>
  <c r="F81" i="13"/>
  <c r="F90" i="13"/>
  <c r="F99" i="13"/>
  <c r="D16" i="13"/>
  <c r="D24" i="13"/>
  <c r="D34" i="13"/>
  <c r="D42" i="13"/>
  <c r="D52" i="13"/>
  <c r="D60" i="13"/>
  <c r="D70" i="13"/>
  <c r="D78" i="13"/>
  <c r="D87" i="13"/>
  <c r="D94" i="13"/>
  <c r="N65" i="28"/>
  <c r="I28" i="28"/>
  <c r="I62" i="28"/>
  <c r="K59" i="28"/>
  <c r="K85" i="28"/>
  <c r="F32" i="28"/>
  <c r="F65" i="28"/>
  <c r="F90" i="28"/>
  <c r="G43" i="28"/>
  <c r="G88" i="28"/>
  <c r="O40" i="28"/>
  <c r="O84" i="28"/>
  <c r="J53" i="28"/>
  <c r="H40" i="28"/>
  <c r="N47" i="28"/>
  <c r="N90" i="28"/>
  <c r="I30" i="28"/>
  <c r="I66" i="28"/>
  <c r="I97" i="28"/>
  <c r="K36" i="28"/>
  <c r="K64" i="28"/>
  <c r="K96" i="28"/>
  <c r="F38" i="28"/>
  <c r="F70" i="28"/>
  <c r="F94" i="28"/>
  <c r="G60" i="28"/>
  <c r="M48" i="28"/>
  <c r="M91" i="28"/>
  <c r="O50" i="28"/>
  <c r="E102" i="28"/>
  <c r="H44" i="28"/>
  <c r="N68" i="28"/>
  <c r="I24" i="28"/>
  <c r="I71" i="28"/>
  <c r="K30" i="28"/>
  <c r="K56" i="28"/>
  <c r="K80" i="28"/>
  <c r="F29" i="28"/>
  <c r="F58" i="28"/>
  <c r="F84" i="28"/>
  <c r="G86" i="28"/>
  <c r="M104" i="28"/>
  <c r="M81" i="28"/>
  <c r="O100" i="28"/>
  <c r="O28" i="28"/>
  <c r="O86" i="28"/>
  <c r="J23" i="28"/>
  <c r="E53" i="28"/>
  <c r="E94" i="28"/>
  <c r="H92" i="28"/>
  <c r="N23" i="28"/>
  <c r="N35" i="28"/>
  <c r="N45" i="28"/>
  <c r="N54" i="28"/>
  <c r="N69" i="28"/>
  <c r="N82" i="28"/>
  <c r="N97" i="28"/>
  <c r="I26" i="28"/>
  <c r="I40" i="28"/>
  <c r="I60" i="28"/>
  <c r="I72" i="28"/>
  <c r="I87" i="28"/>
  <c r="K22" i="28"/>
  <c r="K31" i="28"/>
  <c r="K41" i="28"/>
  <c r="K72" i="28"/>
  <c r="F104" i="28"/>
  <c r="F47" i="28"/>
  <c r="F76" i="28"/>
  <c r="G101" i="28"/>
  <c r="M22" i="28"/>
  <c r="M39" i="28"/>
  <c r="M54" i="28"/>
  <c r="M83" i="28"/>
  <c r="O102" i="28"/>
  <c r="O35" i="28"/>
  <c r="O54" i="28"/>
  <c r="J56" i="28"/>
  <c r="L103" i="28"/>
  <c r="L45" i="28"/>
  <c r="E22" i="28"/>
  <c r="E64" i="28"/>
  <c r="O36" i="28"/>
  <c r="O92" i="28"/>
  <c r="J31" i="28"/>
  <c r="J82" i="28"/>
  <c r="L49" i="28"/>
  <c r="E24" i="28"/>
  <c r="H103" i="28"/>
  <c r="H64" i="28"/>
  <c r="D96" i="13"/>
  <c r="N36" i="28"/>
  <c r="N46" i="28"/>
  <c r="N71" i="28"/>
  <c r="N83" i="28"/>
  <c r="I27" i="28"/>
  <c r="I43" i="28"/>
  <c r="I75" i="28"/>
  <c r="I91" i="28"/>
  <c r="K32" i="28"/>
  <c r="K45" i="28"/>
  <c r="K73" i="28"/>
  <c r="F105" i="28"/>
  <c r="F48" i="28"/>
  <c r="F77" i="28"/>
  <c r="G103" i="28"/>
  <c r="G47" i="28"/>
  <c r="G75" i="28"/>
  <c r="G93" i="28"/>
  <c r="M40" i="28"/>
  <c r="M60" i="28"/>
  <c r="M85" i="28"/>
  <c r="O104" i="28"/>
  <c r="O78" i="28"/>
  <c r="L105" i="28"/>
  <c r="E26" i="28"/>
  <c r="H105" i="28"/>
  <c r="I45" i="28"/>
  <c r="I63" i="28"/>
  <c r="I76" i="28"/>
  <c r="I92" i="28"/>
  <c r="K24" i="28"/>
  <c r="K34" i="28"/>
  <c r="K47" i="28"/>
  <c r="K61" i="28"/>
  <c r="K74" i="28"/>
  <c r="K87" i="28"/>
  <c r="F106" i="28"/>
  <c r="F33" i="28"/>
  <c r="F51" i="28"/>
  <c r="F67" i="28"/>
  <c r="F78" i="28"/>
  <c r="F92" i="28"/>
  <c r="M25" i="28"/>
  <c r="M41" i="28"/>
  <c r="O38" i="28"/>
  <c r="O59" i="28"/>
  <c r="J64" i="28"/>
  <c r="J88" i="28"/>
  <c r="L51" i="28"/>
  <c r="L80" i="28"/>
  <c r="E28" i="28"/>
  <c r="E74" i="28"/>
  <c r="N48" i="28"/>
  <c r="N87" i="28"/>
  <c r="I47" i="28"/>
  <c r="I96" i="28"/>
  <c r="K62" i="28"/>
  <c r="K93" i="28"/>
  <c r="F34" i="28"/>
  <c r="F69" i="28"/>
  <c r="F93" i="28"/>
  <c r="G30" i="28"/>
  <c r="G48" i="28"/>
  <c r="G95" i="28"/>
  <c r="M29" i="28"/>
  <c r="M62" i="28"/>
  <c r="M88" i="28"/>
  <c r="O105" i="28"/>
  <c r="O39" i="28"/>
  <c r="J101" i="28"/>
  <c r="J42" i="28"/>
  <c r="L52" i="28"/>
  <c r="E77" i="28"/>
  <c r="H27" i="28"/>
  <c r="G89" i="13"/>
  <c r="F100" i="13"/>
  <c r="F13" i="13"/>
  <c r="F19" i="13"/>
  <c r="F25" i="13"/>
  <c r="F31" i="13"/>
  <c r="F37" i="13"/>
  <c r="F43" i="13"/>
  <c r="F49" i="13"/>
  <c r="F55" i="13"/>
  <c r="F61" i="13"/>
  <c r="F67" i="13"/>
  <c r="F73" i="13"/>
  <c r="F79" i="13"/>
  <c r="F84" i="13"/>
  <c r="F9" i="13"/>
  <c r="D101" i="13"/>
  <c r="D15" i="13"/>
  <c r="D21" i="13"/>
  <c r="D27" i="13"/>
  <c r="D33" i="13"/>
  <c r="D39" i="13"/>
  <c r="D45" i="13"/>
  <c r="D51" i="13"/>
  <c r="D57" i="13"/>
  <c r="D63" i="13"/>
  <c r="D69" i="13"/>
  <c r="D75" i="13"/>
  <c r="D80" i="13"/>
  <c r="D86" i="13"/>
  <c r="D91" i="13"/>
  <c r="N29" i="28"/>
  <c r="N38" i="28"/>
  <c r="N57" i="28"/>
  <c r="I100" i="28"/>
  <c r="I29" i="28"/>
  <c r="K25" i="28"/>
  <c r="K35" i="28"/>
  <c r="K51" i="28"/>
  <c r="K77" i="28"/>
  <c r="F23" i="28"/>
  <c r="F53" i="28"/>
  <c r="F80" i="28"/>
  <c r="G78" i="28"/>
  <c r="M43" i="28"/>
  <c r="M69" i="28"/>
  <c r="O60" i="28"/>
  <c r="O82" i="28"/>
  <c r="J102" i="28"/>
  <c r="J65" i="28"/>
  <c r="J93" i="28"/>
  <c r="L28" i="28"/>
  <c r="E34" i="28"/>
  <c r="H32" i="28"/>
  <c r="H75" i="28"/>
  <c r="G76" i="28"/>
  <c r="G97" i="28"/>
  <c r="M31" i="28"/>
  <c r="M50" i="28"/>
  <c r="M82" i="28"/>
  <c r="M93" i="28"/>
  <c r="O27" i="28"/>
  <c r="O53" i="28"/>
  <c r="O77" i="28"/>
  <c r="O95" i="28"/>
  <c r="J43" i="28"/>
  <c r="J84" i="28"/>
  <c r="L39" i="28"/>
  <c r="L81" i="28"/>
  <c r="L97" i="28"/>
  <c r="E29" i="28"/>
  <c r="E93" i="28"/>
  <c r="H24" i="28"/>
  <c r="H47" i="28"/>
  <c r="H72" i="28"/>
  <c r="L27" i="28"/>
  <c r="L40" i="28"/>
  <c r="L68" i="28"/>
  <c r="L84" i="28"/>
  <c r="E101" i="28"/>
  <c r="E31" i="28"/>
  <c r="E78" i="28"/>
  <c r="E95" i="28"/>
  <c r="H74" i="28"/>
  <c r="H94" i="28"/>
  <c r="G79" i="28"/>
  <c r="G99" i="28"/>
  <c r="M34" i="28"/>
  <c r="M45" i="28"/>
  <c r="M72" i="28"/>
  <c r="M98" i="28"/>
  <c r="O31" i="28"/>
  <c r="O55" i="28"/>
  <c r="O79" i="28"/>
  <c r="O88" i="28"/>
  <c r="J25" i="28"/>
  <c r="J46" i="28"/>
  <c r="J89" i="28"/>
  <c r="L41" i="28"/>
  <c r="L85" i="28"/>
  <c r="E56" i="28"/>
  <c r="E81" i="28"/>
  <c r="E98" i="28"/>
  <c r="H58" i="28"/>
  <c r="H81" i="28"/>
  <c r="G104" i="28"/>
  <c r="G34" i="28"/>
  <c r="G55" i="28"/>
  <c r="G69" i="28"/>
  <c r="G89" i="28"/>
  <c r="M26" i="28"/>
  <c r="M35" i="28"/>
  <c r="M57" i="28"/>
  <c r="M86" i="28"/>
  <c r="O106" i="28"/>
  <c r="O45" i="28"/>
  <c r="O68" i="28"/>
  <c r="O80" i="28"/>
  <c r="J103" i="28"/>
  <c r="J59" i="28"/>
  <c r="J73" i="28"/>
  <c r="L101" i="28"/>
  <c r="L29" i="28"/>
  <c r="L60" i="28"/>
  <c r="L72" i="28"/>
  <c r="E36" i="28"/>
  <c r="E58" i="28"/>
  <c r="H33" i="28"/>
  <c r="H59" i="28"/>
  <c r="G81" i="28"/>
  <c r="M100" i="28"/>
  <c r="M27" i="28"/>
  <c r="M47" i="28"/>
  <c r="M77" i="28"/>
  <c r="M99" i="28"/>
  <c r="O32" i="28"/>
  <c r="O56" i="28"/>
  <c r="O71" i="28"/>
  <c r="O89" i="28"/>
  <c r="J28" i="28"/>
  <c r="J62" i="28"/>
  <c r="L102" i="28"/>
  <c r="L61" i="28"/>
  <c r="E106" i="28"/>
  <c r="E38" i="28"/>
  <c r="E84" i="28"/>
  <c r="H101" i="28"/>
  <c r="H83" i="28"/>
  <c r="K50" i="28"/>
  <c r="K58" i="28"/>
  <c r="K66" i="28"/>
  <c r="K75" i="28"/>
  <c r="F100" i="28"/>
  <c r="F22" i="28"/>
  <c r="F31" i="28"/>
  <c r="F43" i="28"/>
  <c r="F52" i="28"/>
  <c r="F64" i="28"/>
  <c r="F72" i="28"/>
  <c r="F79" i="28"/>
  <c r="F89" i="28"/>
  <c r="G23" i="28"/>
  <c r="G38" i="28"/>
  <c r="G57" i="28"/>
  <c r="G71" i="28"/>
  <c r="M103" i="28"/>
  <c r="M38" i="28"/>
  <c r="M59" i="28"/>
  <c r="O22" i="28"/>
  <c r="O49" i="28"/>
  <c r="O58" i="28"/>
  <c r="J104" i="28"/>
  <c r="J75" i="28"/>
  <c r="L31" i="28"/>
  <c r="L74" i="28"/>
  <c r="E61" i="28"/>
  <c r="E85" i="28"/>
  <c r="H102" i="28"/>
  <c r="H60" i="28"/>
  <c r="H84" i="28"/>
  <c r="J48" i="28"/>
  <c r="J57" i="28"/>
  <c r="J66" i="28"/>
  <c r="J77" i="28"/>
  <c r="J90" i="28"/>
  <c r="J97" i="28"/>
  <c r="L22" i="28"/>
  <c r="L33" i="28"/>
  <c r="L42" i="28"/>
  <c r="L53" i="28"/>
  <c r="L65" i="28"/>
  <c r="L76" i="28"/>
  <c r="L86" i="28"/>
  <c r="E100" i="28"/>
  <c r="E54" i="28"/>
  <c r="E66" i="28"/>
  <c r="E83" i="28"/>
  <c r="H37" i="28"/>
  <c r="H50" i="28"/>
  <c r="H61" i="28"/>
  <c r="H77" i="28"/>
  <c r="H87" i="28"/>
  <c r="H96" i="28"/>
  <c r="J37" i="28"/>
  <c r="J49" i="28"/>
  <c r="J58" i="28"/>
  <c r="J67" i="28"/>
  <c r="J80" i="28"/>
  <c r="L24" i="28"/>
  <c r="L34" i="28"/>
  <c r="L44" i="28"/>
  <c r="L58" i="28"/>
  <c r="L67" i="28"/>
  <c r="L78" i="28"/>
  <c r="L88" i="28"/>
  <c r="E41" i="28"/>
  <c r="E55" i="28"/>
  <c r="E67" i="28"/>
  <c r="H106" i="28"/>
  <c r="H39" i="28"/>
  <c r="H51" i="28"/>
  <c r="H88" i="28"/>
  <c r="H53" i="28"/>
  <c r="H65" i="28"/>
  <c r="H78" i="28"/>
  <c r="H99" i="28"/>
  <c r="E103" i="28"/>
  <c r="E57" i="28"/>
  <c r="E76" i="28"/>
  <c r="E88" i="28"/>
  <c r="H42" i="28"/>
  <c r="H57" i="28"/>
  <c r="H66" i="28"/>
  <c r="E105" i="28"/>
  <c r="E30" i="28"/>
  <c r="E44" i="28"/>
  <c r="E89" i="28"/>
  <c r="H25" i="28"/>
  <c r="H71" i="28"/>
  <c r="H82" i="28"/>
  <c r="AC28" i="13"/>
  <c r="D10" i="8"/>
  <c r="G18" i="6"/>
  <c r="Q22" i="7"/>
  <c r="Q23" i="7"/>
  <c r="Q70" i="7"/>
  <c r="Q71" i="7"/>
  <c r="Q14" i="7"/>
  <c r="Q15" i="7"/>
  <c r="Q62" i="7"/>
  <c r="Q63" i="7"/>
  <c r="Q54" i="7"/>
  <c r="Q55" i="7"/>
  <c r="Q46" i="7"/>
  <c r="Q47" i="7"/>
  <c r="Q38" i="7"/>
  <c r="Q39" i="7"/>
  <c r="Q86" i="7"/>
  <c r="Q87" i="7"/>
  <c r="Q30" i="7"/>
  <c r="Q78" i="7"/>
  <c r="G17" i="18"/>
  <c r="I17" i="18"/>
  <c r="H16" i="18"/>
  <c r="T64" i="18"/>
  <c r="AI104" i="21"/>
  <c r="AI105" i="21" s="1"/>
  <c r="AI102" i="21"/>
  <c r="AI101" i="21" s="1"/>
  <c r="V62" i="8"/>
  <c r="V61" i="8" s="1"/>
  <c r="V72" i="8"/>
  <c r="V64" i="8"/>
  <c r="V65" i="8" s="1"/>
  <c r="D55" i="8"/>
  <c r="L104" i="28" a="1"/>
  <c r="I31" i="28" a="1"/>
  <c r="K42" i="28" a="1"/>
  <c r="G44" i="28" a="1"/>
  <c r="K94" i="28" a="1"/>
  <c r="I58" i="28" a="1"/>
  <c r="O52" i="28" a="1"/>
  <c r="M28" i="28" a="1"/>
  <c r="E51" i="28" a="1"/>
  <c r="K95" i="28" a="1"/>
  <c r="L96" i="28" a="1"/>
  <c r="G77" i="28" a="1"/>
  <c r="I104" i="28" a="1"/>
  <c r="J40" i="28" a="1"/>
  <c r="E65" i="28" a="1"/>
  <c r="G50" i="28" a="1"/>
  <c r="N92" i="28" a="1"/>
  <c r="E86" i="28" a="1"/>
  <c r="M71" i="28" a="1"/>
  <c r="I78" i="28" a="1"/>
  <c r="J44" i="28" a="1"/>
  <c r="C99" i="13" a="1"/>
  <c r="I33" i="28" a="1"/>
  <c r="J106" i="28" a="1"/>
  <c r="J76" i="28" a="1"/>
  <c r="F88" i="28" a="1"/>
  <c r="L98" i="28" a="1"/>
  <c r="L87" i="28" a="1"/>
  <c r="M89" i="28" a="1"/>
  <c r="N66" i="28" a="1"/>
  <c r="L66" i="28" a="1"/>
  <c r="M65" i="28" a="1"/>
  <c r="G99" i="13" a="1"/>
  <c r="I73" i="28" a="1"/>
  <c r="G56" i="28" a="1"/>
  <c r="L70" i="28" a="1"/>
  <c r="K43" i="28" a="1"/>
  <c r="F35" i="28" a="1"/>
  <c r="M79" i="28" a="1"/>
  <c r="M58" i="28" a="1"/>
  <c r="K52" i="28" a="1"/>
  <c r="M42" i="28" a="1"/>
  <c r="H43" i="28" a="1"/>
  <c r="K68" i="28" a="1"/>
  <c r="J81" i="28" a="1"/>
  <c r="K88" i="28" a="1"/>
  <c r="E35" i="28" a="1"/>
  <c r="M24" i="28" a="1"/>
  <c r="J26" i="28" a="1"/>
  <c r="I23" i="28" a="1"/>
  <c r="M102" i="28" a="1"/>
  <c r="O69" i="28" a="1"/>
  <c r="L59" i="28" a="1"/>
  <c r="G72" i="28" a="1"/>
  <c r="I70" i="28" a="1"/>
  <c r="F91" i="28" a="1"/>
  <c r="I42" i="28" a="1"/>
  <c r="L56" i="28" a="1"/>
  <c r="E45" i="28" a="1"/>
  <c r="K92" i="28" a="1"/>
  <c r="J83" i="28" a="1"/>
  <c r="G39" i="28" a="1"/>
  <c r="N104" i="28" a="1"/>
  <c r="L62" i="28" a="1"/>
  <c r="N63" i="28" a="1"/>
  <c r="F98" i="13" a="1"/>
  <c r="F101" i="28" a="1"/>
  <c r="H54" i="28" a="1"/>
  <c r="O61" i="28" a="1"/>
  <c r="L48" i="28" a="1"/>
  <c r="G27" i="28" a="1"/>
  <c r="J79" i="28" a="1"/>
  <c r="N96" i="28" a="1"/>
  <c r="O67" i="28" a="1"/>
  <c r="L82" i="28" a="1"/>
  <c r="J39" i="28" a="1"/>
  <c r="G46" i="28" a="1"/>
  <c r="M84" i="28" a="1"/>
  <c r="G65" i="28" a="1"/>
  <c r="I46" i="28" a="1"/>
  <c r="H93" i="28" a="1"/>
  <c r="F37" i="28" a="1"/>
  <c r="H100" i="28" a="1"/>
  <c r="N103" i="28" a="1"/>
  <c r="L99" i="28" a="1"/>
  <c r="N26" i="28" a="1"/>
  <c r="J54" i="28" a="1"/>
  <c r="H98" i="28" a="1"/>
  <c r="J78" i="28" a="1"/>
  <c r="E47" i="28" a="1"/>
  <c r="G106" i="28" a="1"/>
  <c r="G59" i="28" a="1"/>
  <c r="N44" i="28" a="1"/>
  <c r="J85" i="28" a="1"/>
  <c r="J29" i="28" a="1"/>
  <c r="N88" i="28" a="1"/>
  <c r="H73" i="28" a="1"/>
  <c r="K40" i="28" a="1"/>
  <c r="G58" i="28" a="1"/>
  <c r="F36" i="28" a="1"/>
  <c r="M96" i="28" a="1"/>
  <c r="C100" i="13" a="1"/>
  <c r="I65" i="28" a="1"/>
  <c r="L50" i="28" a="1"/>
  <c r="K90" i="28" a="1"/>
  <c r="E91" i="28" a="1"/>
  <c r="H70" i="28" a="1"/>
  <c r="M101" i="28" a="1"/>
  <c r="K46" i="28" a="1"/>
  <c r="G63" i="28" a="1"/>
  <c r="E27" i="28" a="1"/>
  <c r="I89" i="28" a="1"/>
  <c r="G36" i="28" a="1"/>
  <c r="L92" i="28" a="1"/>
  <c r="O70" i="28" a="1"/>
  <c r="K105" i="28" a="1"/>
  <c r="K100" i="28" a="1"/>
  <c r="F50" i="28" a="1"/>
  <c r="O97" i="28" a="1"/>
  <c r="E73" i="28" a="1"/>
  <c r="O34" i="28" a="1"/>
  <c r="I101" i="28" a="1"/>
  <c r="G40" i="28" a="1"/>
  <c r="E52" i="28" a="1"/>
  <c r="E87" i="28" a="1"/>
  <c r="J70" i="28" a="1"/>
  <c r="O29" i="28" a="1"/>
  <c r="N59" i="28" a="1"/>
  <c r="L94" i="28" a="1"/>
  <c r="I48" i="28" a="1"/>
  <c r="N105" i="28" a="1"/>
  <c r="O66" i="28" a="1"/>
  <c r="O76" i="28" a="1"/>
  <c r="G68" i="28" a="1"/>
  <c r="K101" i="28" a="1"/>
  <c r="E80" i="28" a="1"/>
  <c r="L83" i="28" a="1"/>
  <c r="E39" i="28" a="1"/>
  <c r="O72" i="28" a="1"/>
  <c r="I103" i="28" a="1"/>
  <c r="M105" i="28" a="1"/>
  <c r="O99" i="28" a="1"/>
  <c r="N27" i="28" a="1"/>
  <c r="O74" i="28" a="1"/>
  <c r="F54" i="28" a="1"/>
  <c r="E97" i="28" a="1"/>
  <c r="F62" i="28" a="1"/>
  <c r="C103" i="13" a="1"/>
  <c r="E69" i="28" a="1"/>
  <c r="G96" i="28" a="1"/>
  <c r="D98" i="13" a="1"/>
  <c r="K86" i="28" a="1"/>
  <c r="E32" i="28" a="1"/>
  <c r="M46" i="28" a="1"/>
  <c r="L93" i="28" a="1"/>
  <c r="H26" i="28" a="1"/>
  <c r="O94" i="28" a="1"/>
  <c r="G61" i="28" a="1"/>
  <c r="L75" i="28" a="1"/>
  <c r="J100" i="28" a="1"/>
  <c r="H86" i="28" a="1"/>
  <c r="M36" i="28" a="1"/>
  <c r="F40" i="28" a="1"/>
  <c r="I51" i="28" a="1"/>
  <c r="G52" i="28" a="1"/>
  <c r="G35" i="28" a="1"/>
  <c r="K81" i="28" a="1"/>
  <c r="I32" i="28" a="1"/>
  <c r="F74" i="28" a="1"/>
  <c r="G24" i="28" a="1"/>
  <c r="K102" i="28" a="1"/>
  <c r="E70" i="28" a="1"/>
  <c r="H67" i="28" a="1"/>
  <c r="E37" i="28" a="1"/>
  <c r="G100" i="28" a="1"/>
  <c r="O101" i="28" a="1"/>
  <c r="N58" i="28" a="1"/>
  <c r="N95" i="28" a="1"/>
  <c r="M95" i="28" a="1"/>
  <c r="M68" i="28" a="1"/>
  <c r="G105" i="28" a="1"/>
  <c r="M78" i="28" a="1"/>
  <c r="G94" i="28" a="1"/>
  <c r="H55" i="28" a="1"/>
  <c r="J41" i="28" a="1"/>
  <c r="J30" i="28" a="1"/>
  <c r="O85" i="28" a="1"/>
  <c r="O42" i="28" a="1"/>
  <c r="K48" i="28" a="1"/>
  <c r="O48" i="28" a="1"/>
  <c r="M33" i="28" a="1"/>
  <c r="G80" i="28" a="1"/>
  <c r="E46" i="28" a="1"/>
  <c r="I83" i="28" a="1"/>
  <c r="K44" i="28" a="1"/>
  <c r="M37" i="28" a="1"/>
  <c r="J68" i="28" a="1"/>
  <c r="I93" i="28" a="1"/>
  <c r="L46" i="28" a="1"/>
  <c r="O44" i="28" a="1"/>
  <c r="H29" i="28" a="1"/>
  <c r="H48" i="28" a="1"/>
  <c r="M61" i="28" a="1"/>
  <c r="G92" i="28" a="1"/>
  <c r="E72" i="28" a="1"/>
  <c r="H46" i="28" a="1"/>
  <c r="F66" i="28" a="1"/>
  <c r="O41" i="28" a="1"/>
  <c r="L30" i="28" a="1"/>
  <c r="M106" i="28" a="1"/>
  <c r="K63" i="28" a="1"/>
  <c r="O62" i="28" a="1"/>
  <c r="I90" i="28" a="1"/>
  <c r="K49" i="28" a="1"/>
  <c r="L23" i="28" a="1"/>
  <c r="H52" i="28" a="1"/>
  <c r="N34" i="28" a="1"/>
  <c r="O87" i="28" a="1"/>
  <c r="E62" i="28" a="1"/>
  <c r="I68" i="28" a="1"/>
  <c r="G83" i="28" a="1"/>
  <c r="J47" i="28" a="1"/>
  <c r="H56" i="28" a="1"/>
  <c r="N79" i="28" a="1"/>
  <c r="O43" i="28" a="1"/>
  <c r="H36" i="28" a="1"/>
  <c r="M66" i="28" a="1"/>
  <c r="L37" i="28" a="1"/>
  <c r="H63" i="28" a="1"/>
  <c r="H76" i="28" a="1"/>
  <c r="K29" i="28" a="1"/>
  <c r="M67" i="28" a="1"/>
  <c r="K89" i="28" a="1"/>
  <c r="E92" i="28" a="1"/>
  <c r="E79" i="28" a="1"/>
  <c r="H28" i="28" a="1"/>
  <c r="K83" i="28" a="1"/>
  <c r="N50" i="28" a="1"/>
  <c r="M44" i="28" a="1"/>
  <c r="G51" i="28" a="1"/>
  <c r="K71" i="28" a="1"/>
  <c r="I41" i="28" a="1"/>
  <c r="G49" i="28" a="1"/>
  <c r="E103" i="13" a="1"/>
  <c r="O37" i="28" a="1"/>
  <c r="G22" i="28" a="1"/>
  <c r="J38" i="28" a="1"/>
  <c r="E100" i="13" a="1"/>
  <c r="G70" i="28" a="1"/>
  <c r="J32" i="28" a="1"/>
  <c r="G37" i="28" a="1"/>
  <c r="I82" i="28" a="1"/>
  <c r="N70" i="28" a="1"/>
  <c r="F61" i="28" a="1"/>
  <c r="J60" i="28" a="1"/>
  <c r="J98" i="28" a="1"/>
  <c r="F95" i="28" a="1"/>
  <c r="N78" i="28" a="1"/>
  <c r="J50" i="28" a="1"/>
  <c r="O98" i="28" a="1"/>
  <c r="G85" i="28" a="1"/>
  <c r="E23" i="28" a="1"/>
  <c r="O57" i="28" a="1"/>
  <c r="G54" i="28" a="1"/>
  <c r="F55" i="28" a="1"/>
  <c r="M90" i="28" a="1"/>
  <c r="O93" i="28" a="1"/>
  <c r="N22" i="28" a="1"/>
  <c r="E60" i="28" a="1"/>
  <c r="I74" i="28" a="1"/>
  <c r="H62" i="28" a="1"/>
  <c r="G26" i="28" a="1"/>
  <c r="H41" i="28" a="1"/>
  <c r="H30" i="28" a="1"/>
  <c r="O46" i="28" a="1"/>
  <c r="J72" i="28" a="1"/>
  <c r="F26" i="28" a="1"/>
  <c r="F87" i="28" a="1"/>
  <c r="I98" i="28" a="1"/>
  <c r="F85" i="28" a="1"/>
  <c r="J55" i="28" a="1"/>
  <c r="M64" i="28" a="1"/>
  <c r="H38" i="28" a="1"/>
  <c r="I61" i="28" a="1"/>
  <c r="M75" i="28" a="1"/>
  <c r="I55" i="28" a="1"/>
  <c r="E63" i="28" a="1"/>
  <c r="I56" i="28" a="1"/>
  <c r="G74" i="28" a="1"/>
  <c r="L106" i="28" a="1"/>
  <c r="I36" i="28" a="1"/>
  <c r="M92" i="28" a="1"/>
  <c r="E68" i="28" a="1"/>
  <c r="J63" i="28" a="1"/>
  <c r="M51" i="28" a="1"/>
  <c r="L79" i="28" a="1"/>
  <c r="L26" i="28" a="1"/>
  <c r="E75" i="28" a="1"/>
  <c r="I94" i="28" a="1"/>
  <c r="N61" i="28" a="1"/>
  <c r="H49" i="28" a="1"/>
  <c r="J91" i="28" a="1"/>
  <c r="M53" i="28" a="1"/>
  <c r="F59" i="28" a="1"/>
  <c r="K76" i="28" a="1"/>
  <c r="K103" i="28" a="1"/>
  <c r="J86" i="28" a="1"/>
  <c r="J34" i="28" a="1"/>
  <c r="F25" i="28" a="1"/>
  <c r="F44" i="28" a="1"/>
  <c r="G66" i="28" a="1"/>
  <c r="L55" i="28" a="1"/>
  <c r="I37" i="28" a="1"/>
  <c r="E40" i="28" a="1"/>
  <c r="O91" i="28" a="1"/>
  <c r="L38" i="28" a="1"/>
  <c r="K97" i="28" a="1"/>
  <c r="K98" i="28" a="1"/>
  <c r="I88" i="28" a="1"/>
  <c r="K91" i="28" a="1"/>
  <c r="I38" i="28" a="1"/>
  <c r="K53" i="28" a="1"/>
  <c r="J27" i="28" a="1"/>
  <c r="L36" i="28" a="1"/>
  <c r="L77" i="28" a="1"/>
  <c r="I54" i="28" a="1"/>
  <c r="J35" i="28" a="1"/>
  <c r="I102" i="28" a="1"/>
  <c r="H68" i="28" a="1"/>
  <c r="E43" i="28" a="1"/>
  <c r="L32" i="28" a="1"/>
  <c r="I49" i="28" a="1"/>
  <c r="J87" i="28" a="1"/>
  <c r="N77" i="28" a="1"/>
  <c r="G28" i="28" a="1"/>
  <c r="L57" i="28" a="1"/>
  <c r="N62" i="28" a="1"/>
  <c r="H79" i="28" a="1"/>
  <c r="N100" i="28" a="1"/>
  <c r="O96" i="28" a="1"/>
  <c r="G41" i="28" a="1"/>
  <c r="H23" i="28" a="1"/>
  <c r="L100" i="28" a="1"/>
  <c r="F24" i="28" a="1"/>
  <c r="H31" i="28" a="1"/>
  <c r="L69" i="28" a="1"/>
  <c r="J33" i="28" a="1"/>
  <c r="F42" i="28" a="1"/>
  <c r="N85" i="28" a="1"/>
  <c r="O30" i="28" a="1"/>
  <c r="F41" i="28" a="1"/>
  <c r="J61" i="28" a="1"/>
  <c r="C101" i="13" a="1"/>
  <c r="N67" i="28" a="1"/>
  <c r="D102" i="13" a="1"/>
  <c r="N41" i="28" a="1"/>
  <c r="E104" i="28" a="1"/>
  <c r="H22" i="28" a="1"/>
  <c r="N91" i="28" a="1"/>
  <c r="K67" i="28" a="1"/>
  <c r="O26" i="28" a="1"/>
  <c r="E25" i="28" a="1"/>
  <c r="G90" i="28" a="1"/>
  <c r="L89" i="28" a="1"/>
  <c r="K33" i="28" a="1"/>
  <c r="E71" i="28" a="1"/>
  <c r="L47" i="28" a="1"/>
  <c r="M76" i="28" a="1"/>
  <c r="L25" i="28" a="1"/>
  <c r="M55" i="28" a="1"/>
  <c r="F68" i="28" a="1"/>
  <c r="O33" i="28" a="1"/>
  <c r="I95" i="28" a="1"/>
  <c r="F49" i="28" a="1"/>
  <c r="N86" i="28" a="1"/>
  <c r="I85" i="28" a="1"/>
  <c r="K60" i="28" a="1"/>
  <c r="J36" i="28" a="1"/>
  <c r="M56" i="28" a="1"/>
  <c r="I25" i="28" a="1"/>
  <c r="G45" i="28" a="1"/>
  <c r="H69" i="28" a="1"/>
  <c r="J74" i="28" a="1"/>
  <c r="M97" i="28" a="1"/>
  <c r="L54" i="28" a="1"/>
  <c r="M74" i="28" a="1"/>
  <c r="M73" i="28" a="1"/>
  <c r="L43" i="28" a="1"/>
  <c r="L73" i="28" a="1"/>
  <c r="H35" i="28" a="1"/>
  <c r="E33" i="28" a="1"/>
  <c r="G53" i="28" a="1"/>
  <c r="G29" i="28" a="1"/>
  <c r="H97" i="28" a="1"/>
  <c r="H34" i="28" a="1"/>
  <c r="I81" i="28" a="1"/>
  <c r="H80" i="28" a="1"/>
  <c r="F63" i="28" a="1"/>
  <c r="I44" i="28" a="1"/>
  <c r="E48" i="28" a="1"/>
  <c r="G102" i="28" a="1"/>
  <c r="E82" i="28" a="1"/>
  <c r="M63" i="28" a="1"/>
  <c r="O63" i="28" a="1"/>
  <c r="N24" i="28" a="1"/>
  <c r="O47" i="28" a="1"/>
  <c r="O23" i="28" a="1"/>
  <c r="F81" i="28" a="1"/>
  <c r="G25" i="28" a="1"/>
  <c r="H104" i="28" a="1"/>
  <c r="I52" i="28" a="1"/>
  <c r="N81" i="28" a="1"/>
  <c r="E59" i="28" a="1"/>
  <c r="E75" i="28" l="1"/>
  <c r="N104" i="28"/>
  <c r="M67" i="28"/>
  <c r="E80" i="28"/>
  <c r="G68" i="28"/>
  <c r="I70" i="28"/>
  <c r="I73" i="28"/>
  <c r="J68" i="28"/>
  <c r="L82" i="28"/>
  <c r="F63" i="28"/>
  <c r="L100" i="28"/>
  <c r="N62" i="28"/>
  <c r="L26" i="28"/>
  <c r="E97" i="28"/>
  <c r="K29" i="28"/>
  <c r="M78" i="28"/>
  <c r="N88" i="28"/>
  <c r="N44" i="28"/>
  <c r="G99" i="13"/>
  <c r="I46" i="28"/>
  <c r="E100" i="13"/>
  <c r="H80" i="28"/>
  <c r="C100" i="13"/>
  <c r="E43" i="28"/>
  <c r="L79" i="28"/>
  <c r="F54" i="28"/>
  <c r="H76" i="28"/>
  <c r="K101" i="28"/>
  <c r="I42" i="28"/>
  <c r="G72" i="28"/>
  <c r="M65" i="28"/>
  <c r="O57" i="28"/>
  <c r="N78" i="28"/>
  <c r="I81" i="28"/>
  <c r="I82" i="28"/>
  <c r="H68" i="28"/>
  <c r="M51" i="28"/>
  <c r="O37" i="28"/>
  <c r="H63" i="28"/>
  <c r="L56" i="28"/>
  <c r="J29" i="28"/>
  <c r="G59" i="28"/>
  <c r="L66" i="28"/>
  <c r="E59" i="28"/>
  <c r="F95" i="28"/>
  <c r="H34" i="28"/>
  <c r="N41" i="28"/>
  <c r="I102" i="28"/>
  <c r="J63" i="28"/>
  <c r="J32" i="28"/>
  <c r="L37" i="28"/>
  <c r="H73" i="28"/>
  <c r="J85" i="28"/>
  <c r="L59" i="28"/>
  <c r="N66" i="28"/>
  <c r="M37" i="28"/>
  <c r="O67" i="28"/>
  <c r="H97" i="28"/>
  <c r="H23" i="28"/>
  <c r="J35" i="28"/>
  <c r="E68" i="28"/>
  <c r="G39" i="28"/>
  <c r="M66" i="28"/>
  <c r="G105" i="28"/>
  <c r="F91" i="28"/>
  <c r="G106" i="28"/>
  <c r="M89" i="28"/>
  <c r="G65" i="28"/>
  <c r="G90" i="28"/>
  <c r="G29" i="28"/>
  <c r="F101" i="28"/>
  <c r="I54" i="28"/>
  <c r="M92" i="28"/>
  <c r="O74" i="28"/>
  <c r="H36" i="28"/>
  <c r="M68" i="28"/>
  <c r="O76" i="28"/>
  <c r="E47" i="28"/>
  <c r="L87" i="28"/>
  <c r="K44" i="28"/>
  <c r="M33" i="28"/>
  <c r="G53" i="28"/>
  <c r="G37" i="28"/>
  <c r="L57" i="28"/>
  <c r="I36" i="28"/>
  <c r="F36" i="28"/>
  <c r="O43" i="28"/>
  <c r="M95" i="28"/>
  <c r="O66" i="28"/>
  <c r="O69" i="28"/>
  <c r="L98" i="28"/>
  <c r="E23" i="28"/>
  <c r="D98" i="13"/>
  <c r="D105" i="13" s="1"/>
  <c r="E33" i="28"/>
  <c r="G41" i="28"/>
  <c r="L77" i="28"/>
  <c r="L106" i="28"/>
  <c r="E103" i="13"/>
  <c r="N79" i="28"/>
  <c r="N95" i="28"/>
  <c r="N105" i="28"/>
  <c r="J78" i="28"/>
  <c r="F88" i="28"/>
  <c r="N81" i="28"/>
  <c r="E25" i="28"/>
  <c r="H35" i="28"/>
  <c r="D102" i="13"/>
  <c r="L36" i="28"/>
  <c r="G74" i="28"/>
  <c r="N27" i="28"/>
  <c r="H56" i="28"/>
  <c r="N58" i="28"/>
  <c r="I48" i="28"/>
  <c r="H98" i="28"/>
  <c r="J76" i="28"/>
  <c r="G85" i="28"/>
  <c r="N96" i="28"/>
  <c r="L73" i="28"/>
  <c r="O96" i="28"/>
  <c r="J27" i="28"/>
  <c r="I56" i="28"/>
  <c r="G58" i="28"/>
  <c r="J47" i="28"/>
  <c r="O101" i="28"/>
  <c r="L94" i="28"/>
  <c r="M102" i="28"/>
  <c r="J106" i="28"/>
  <c r="I83" i="28"/>
  <c r="L50" i="28"/>
  <c r="L43" i="28"/>
  <c r="G28" i="28"/>
  <c r="K53" i="28"/>
  <c r="E63" i="28"/>
  <c r="O99" i="28"/>
  <c r="G83" i="28"/>
  <c r="G100" i="28"/>
  <c r="N59" i="28"/>
  <c r="J54" i="28"/>
  <c r="I33" i="28"/>
  <c r="M84" i="28"/>
  <c r="J98" i="28"/>
  <c r="M73" i="28"/>
  <c r="F98" i="13"/>
  <c r="I38" i="28"/>
  <c r="I55" i="28"/>
  <c r="J41" i="28"/>
  <c r="I68" i="28"/>
  <c r="E37" i="28"/>
  <c r="O29" i="28"/>
  <c r="I23" i="28"/>
  <c r="C99" i="13"/>
  <c r="I52" i="28"/>
  <c r="F24" i="28"/>
  <c r="M74" i="28"/>
  <c r="M96" i="28"/>
  <c r="K91" i="28"/>
  <c r="M75" i="28"/>
  <c r="M105" i="28"/>
  <c r="E62" i="28"/>
  <c r="H67" i="28"/>
  <c r="J70" i="28"/>
  <c r="J26" i="28"/>
  <c r="J44" i="28"/>
  <c r="G46" i="28"/>
  <c r="O48" i="28"/>
  <c r="L54" i="28"/>
  <c r="N77" i="28"/>
  <c r="I88" i="28"/>
  <c r="I61" i="28"/>
  <c r="G49" i="28"/>
  <c r="O87" i="28"/>
  <c r="E70" i="28"/>
  <c r="E87" i="28"/>
  <c r="N26" i="28"/>
  <c r="I78" i="28"/>
  <c r="G70" i="28"/>
  <c r="O26" i="28"/>
  <c r="M97" i="28"/>
  <c r="N100" i="28"/>
  <c r="K98" i="28"/>
  <c r="H38" i="28"/>
  <c r="H55" i="28"/>
  <c r="N34" i="28"/>
  <c r="K102" i="28"/>
  <c r="E52" i="28"/>
  <c r="M24" i="28"/>
  <c r="M71" i="28"/>
  <c r="E46" i="28"/>
  <c r="G96" i="28"/>
  <c r="J74" i="28"/>
  <c r="N63" i="28"/>
  <c r="K97" i="28"/>
  <c r="M64" i="28"/>
  <c r="I103" i="28"/>
  <c r="H52" i="28"/>
  <c r="G24" i="28"/>
  <c r="G40" i="28"/>
  <c r="E35" i="28"/>
  <c r="E86" i="28"/>
  <c r="O98" i="28"/>
  <c r="J79" i="28"/>
  <c r="H69" i="28"/>
  <c r="J87" i="28"/>
  <c r="L38" i="28"/>
  <c r="J55" i="28"/>
  <c r="I41" i="28"/>
  <c r="L23" i="28"/>
  <c r="F74" i="28"/>
  <c r="I101" i="28"/>
  <c r="K88" i="28"/>
  <c r="N92" i="28"/>
  <c r="J39" i="28"/>
  <c r="J60" i="28"/>
  <c r="G45" i="28"/>
  <c r="L62" i="28"/>
  <c r="O91" i="28"/>
  <c r="F85" i="28"/>
  <c r="O72" i="28"/>
  <c r="K49" i="28"/>
  <c r="I32" i="28"/>
  <c r="O34" i="28"/>
  <c r="J81" i="28"/>
  <c r="G50" i="28"/>
  <c r="H31" i="28"/>
  <c r="K48" i="28"/>
  <c r="I25" i="28"/>
  <c r="J30" i="28"/>
  <c r="E40" i="28"/>
  <c r="I98" i="28"/>
  <c r="K71" i="28"/>
  <c r="I90" i="28"/>
  <c r="K81" i="28"/>
  <c r="E73" i="28"/>
  <c r="K68" i="28"/>
  <c r="E65" i="28"/>
  <c r="L89" i="28"/>
  <c r="G27" i="28"/>
  <c r="M56" i="28"/>
  <c r="G22" i="28"/>
  <c r="I37" i="28"/>
  <c r="F87" i="28"/>
  <c r="E39" i="28"/>
  <c r="O62" i="28"/>
  <c r="G35" i="28"/>
  <c r="O97" i="28"/>
  <c r="H43" i="28"/>
  <c r="J40" i="28"/>
  <c r="J50" i="28"/>
  <c r="K67" i="28"/>
  <c r="J36" i="28"/>
  <c r="C103" i="13"/>
  <c r="L55" i="28"/>
  <c r="F26" i="28"/>
  <c r="J83" i="28"/>
  <c r="K63" i="28"/>
  <c r="G52" i="28"/>
  <c r="F50" i="28"/>
  <c r="M42" i="28"/>
  <c r="I104" i="28"/>
  <c r="G80" i="28"/>
  <c r="L48" i="28"/>
  <c r="K60" i="28"/>
  <c r="N67" i="28"/>
  <c r="G66" i="28"/>
  <c r="J72" i="28"/>
  <c r="G51" i="28"/>
  <c r="M106" i="28"/>
  <c r="I51" i="28"/>
  <c r="K100" i="28"/>
  <c r="K52" i="28"/>
  <c r="G77" i="28"/>
  <c r="H104" i="28"/>
  <c r="F61" i="28"/>
  <c r="I85" i="28"/>
  <c r="I49" i="28"/>
  <c r="F44" i="28"/>
  <c r="O46" i="28"/>
  <c r="K92" i="28"/>
  <c r="L30" i="28"/>
  <c r="F40" i="28"/>
  <c r="K105" i="28"/>
  <c r="M58" i="28"/>
  <c r="L96" i="28"/>
  <c r="G25" i="28"/>
  <c r="N91" i="28"/>
  <c r="N86" i="28"/>
  <c r="F62" i="28"/>
  <c r="F25" i="28"/>
  <c r="H30" i="28"/>
  <c r="K40" i="28"/>
  <c r="O41" i="28"/>
  <c r="M36" i="28"/>
  <c r="O70" i="28"/>
  <c r="M79" i="28"/>
  <c r="K95" i="28"/>
  <c r="F81" i="28"/>
  <c r="O61" i="28"/>
  <c r="F49" i="28"/>
  <c r="L32" i="28"/>
  <c r="J34" i="28"/>
  <c r="H41" i="28"/>
  <c r="G94" i="28"/>
  <c r="F66" i="28"/>
  <c r="H86" i="28"/>
  <c r="L92" i="28"/>
  <c r="F35" i="28"/>
  <c r="E51" i="28"/>
  <c r="O23" i="28"/>
  <c r="E69" i="28"/>
  <c r="I95" i="28"/>
  <c r="H79" i="28"/>
  <c r="J86" i="28"/>
  <c r="G26" i="28"/>
  <c r="M44" i="28"/>
  <c r="H46" i="28"/>
  <c r="J100" i="28"/>
  <c r="G36" i="28"/>
  <c r="K43" i="28"/>
  <c r="M28" i="28"/>
  <c r="O47" i="28"/>
  <c r="O42" i="28"/>
  <c r="O33" i="28"/>
  <c r="C101" i="13"/>
  <c r="K103" i="28"/>
  <c r="H62" i="28"/>
  <c r="L83" i="28"/>
  <c r="E72" i="28"/>
  <c r="L75" i="28"/>
  <c r="I89" i="28"/>
  <c r="L70" i="28"/>
  <c r="O52" i="28"/>
  <c r="N24" i="28"/>
  <c r="H22" i="28"/>
  <c r="F68" i="28"/>
  <c r="J61" i="28"/>
  <c r="K76" i="28"/>
  <c r="I74" i="28"/>
  <c r="N50" i="28"/>
  <c r="G92" i="28"/>
  <c r="G61" i="28"/>
  <c r="E27" i="28"/>
  <c r="G56" i="28"/>
  <c r="I58" i="28"/>
  <c r="O63" i="28"/>
  <c r="J38" i="28"/>
  <c r="M55" i="28"/>
  <c r="F41" i="28"/>
  <c r="F59" i="28"/>
  <c r="E60" i="28"/>
  <c r="E45" i="28"/>
  <c r="M61" i="28"/>
  <c r="O94" i="28"/>
  <c r="G63" i="28"/>
  <c r="L99" i="28"/>
  <c r="K94" i="28"/>
  <c r="M63" i="28"/>
  <c r="N70" i="28"/>
  <c r="L25" i="28"/>
  <c r="O30" i="28"/>
  <c r="M53" i="28"/>
  <c r="N22" i="28"/>
  <c r="K83" i="28"/>
  <c r="H48" i="28"/>
  <c r="H26" i="28"/>
  <c r="K46" i="28"/>
  <c r="N103" i="28"/>
  <c r="G44" i="28"/>
  <c r="E82" i="28"/>
  <c r="O85" i="28"/>
  <c r="M76" i="28"/>
  <c r="N85" i="28"/>
  <c r="J91" i="28"/>
  <c r="O93" i="28"/>
  <c r="H28" i="28"/>
  <c r="H29" i="28"/>
  <c r="L93" i="28"/>
  <c r="M101" i="28"/>
  <c r="H100" i="28"/>
  <c r="K42" i="28"/>
  <c r="G102" i="28"/>
  <c r="E104" i="28"/>
  <c r="L47" i="28"/>
  <c r="F42" i="28"/>
  <c r="H49" i="28"/>
  <c r="M90" i="28"/>
  <c r="E79" i="28"/>
  <c r="O44" i="28"/>
  <c r="M46" i="28"/>
  <c r="H70" i="28"/>
  <c r="F37" i="28"/>
  <c r="I31" i="28"/>
  <c r="E48" i="28"/>
  <c r="I65" i="28"/>
  <c r="E71" i="28"/>
  <c r="J33" i="28"/>
  <c r="N61" i="28"/>
  <c r="F55" i="28"/>
  <c r="E92" i="28"/>
  <c r="L46" i="28"/>
  <c r="E32" i="28"/>
  <c r="E91" i="28"/>
  <c r="H93" i="28"/>
  <c r="L104" i="28"/>
  <c r="I44" i="28"/>
  <c r="H54" i="28"/>
  <c r="K33" i="28"/>
  <c r="L69" i="28"/>
  <c r="I94" i="28"/>
  <c r="G54" i="28"/>
  <c r="K89" i="28"/>
  <c r="I93" i="28"/>
  <c r="K86" i="28"/>
  <c r="K90" i="28"/>
  <c r="P33" i="21"/>
  <c r="AL90" i="21" s="1"/>
  <c r="F3" i="21"/>
  <c r="AA59" i="21" s="1"/>
  <c r="P26" i="21"/>
  <c r="AL94" i="21" s="1"/>
  <c r="AG59" i="21"/>
  <c r="AG60" i="21" s="1"/>
  <c r="F5" i="21"/>
  <c r="F9" i="21"/>
  <c r="Z43" i="21" s="1"/>
  <c r="J55" i="13"/>
  <c r="H86" i="16"/>
  <c r="G105" i="13"/>
  <c r="D9" i="28"/>
  <c r="T49" i="16"/>
  <c r="V39" i="16" s="1"/>
  <c r="G16" i="6"/>
  <c r="I10" i="8"/>
  <c r="F10" i="8" s="1"/>
  <c r="E10" i="18" s="1"/>
  <c r="H5" i="13" a="1"/>
  <c r="H5" i="13" s="1"/>
  <c r="N11" i="8"/>
  <c r="F6" i="21" s="1"/>
  <c r="J16" i="21" s="1"/>
  <c r="M11" i="18"/>
  <c r="P48" i="16"/>
  <c r="F105" i="13"/>
  <c r="P49" i="16"/>
  <c r="P34" i="21"/>
  <c r="AL91" i="21"/>
  <c r="J101" i="13"/>
  <c r="C2" i="11"/>
  <c r="C3" i="8"/>
  <c r="M10" i="18"/>
  <c r="N10" i="8"/>
  <c r="N17" i="20"/>
  <c r="F12" i="21" s="1"/>
  <c r="N12" i="8"/>
  <c r="L6" i="4" s="1"/>
  <c r="M12" i="18"/>
  <c r="I16" i="8"/>
  <c r="D35" i="20"/>
  <c r="H4" i="11"/>
  <c r="I8" i="2"/>
  <c r="B24" i="16"/>
  <c r="I4" i="14"/>
  <c r="I51" i="25"/>
  <c r="J17" i="18"/>
  <c r="I16" i="18"/>
  <c r="F17" i="18"/>
  <c r="G16" i="18"/>
  <c r="T73" i="18"/>
  <c r="T65" i="18"/>
  <c r="T66" i="18" s="1"/>
  <c r="T63" i="18"/>
  <c r="T62" i="18" s="1"/>
  <c r="V73" i="8"/>
  <c r="V74" i="8" s="1"/>
  <c r="V71" i="8"/>
  <c r="V70" i="8" s="1"/>
  <c r="H21" i="16"/>
  <c r="L7" i="4" s="1"/>
  <c r="H4" i="13" a="1"/>
  <c r="P4" i="13" a="1"/>
  <c r="H23" i="13" a="1"/>
  <c r="H40" i="13" a="1"/>
  <c r="H58" i="13" a="1"/>
  <c r="H74" i="13" a="1"/>
  <c r="H18" i="13" a="1"/>
  <c r="H27" i="13" a="1"/>
  <c r="H83" i="13" a="1"/>
  <c r="H10" i="13" a="1"/>
  <c r="H36" i="13" a="1"/>
  <c r="H91" i="13" a="1"/>
  <c r="H72" i="13" a="1"/>
  <c r="H102" i="13" a="1"/>
  <c r="H88" i="13" a="1"/>
  <c r="H30" i="13" a="1"/>
  <c r="H99" i="13" a="1"/>
  <c r="H43" i="13" a="1"/>
  <c r="H22" i="13" a="1"/>
  <c r="H92" i="13" a="1"/>
  <c r="H82" i="13" a="1"/>
  <c r="H14" i="13" a="1"/>
  <c r="H85" i="13" a="1"/>
  <c r="H98" i="13" a="1"/>
  <c r="H103" i="13" a="1"/>
  <c r="H67" i="13" a="1"/>
  <c r="H29" i="13" a="1"/>
  <c r="H21" i="13" a="1"/>
  <c r="H15" i="13" a="1"/>
  <c r="H93" i="13" a="1"/>
  <c r="H25" i="13" a="1"/>
  <c r="H38" i="13" a="1"/>
  <c r="H37" i="13" a="1"/>
  <c r="H52" i="13" a="1"/>
  <c r="H20" i="13" a="1"/>
  <c r="H9" i="13" a="1"/>
  <c r="H101" i="13" a="1"/>
  <c r="H81" i="13" a="1"/>
  <c r="P4" i="13" l="1"/>
  <c r="L4" i="28"/>
  <c r="N5" i="28"/>
  <c r="I5" i="28"/>
  <c r="AL92" i="21"/>
  <c r="AL95" i="21" s="1"/>
  <c r="V43" i="21"/>
  <c r="B5" i="21"/>
  <c r="D41" i="8"/>
  <c r="H83" i="13"/>
  <c r="H37" i="13"/>
  <c r="H38" i="13"/>
  <c r="H81" i="13"/>
  <c r="H82" i="13"/>
  <c r="H91" i="13"/>
  <c r="H30" i="13"/>
  <c r="H52" i="13"/>
  <c r="H40" i="13"/>
  <c r="H25" i="13"/>
  <c r="H67" i="13"/>
  <c r="H85" i="13"/>
  <c r="H92" i="13"/>
  <c r="H43" i="13"/>
  <c r="H88" i="13"/>
  <c r="H72" i="13"/>
  <c r="H74" i="13"/>
  <c r="H58" i="13"/>
  <c r="H23" i="13"/>
  <c r="H93" i="13"/>
  <c r="H36" i="13"/>
  <c r="H29" i="13"/>
  <c r="H22" i="13"/>
  <c r="F151" i="2"/>
  <c r="F27" i="8" s="1"/>
  <c r="F63" i="25"/>
  <c r="F110" i="2" s="1"/>
  <c r="E29" i="18" s="1"/>
  <c r="F156" i="2"/>
  <c r="I118" i="2"/>
  <c r="I156" i="2"/>
  <c r="E80" i="2"/>
  <c r="G80" i="2"/>
  <c r="H90" i="2"/>
  <c r="G93" i="2"/>
  <c r="I80" i="2"/>
  <c r="I61" i="25"/>
  <c r="I108" i="2" s="1"/>
  <c r="I22" i="25" s="1"/>
  <c r="I34" i="25" s="1"/>
  <c r="G156" i="2"/>
  <c r="G61" i="2"/>
  <c r="G61" i="25"/>
  <c r="G108" i="2" s="1"/>
  <c r="G20" i="25" s="1"/>
  <c r="G34" i="25" s="1"/>
  <c r="AB39" i="13"/>
  <c r="F132" i="2"/>
  <c r="G96" i="2"/>
  <c r="I61" i="2"/>
  <c r="I63" i="25"/>
  <c r="I110" i="2" s="1"/>
  <c r="H29" i="18" s="1"/>
  <c r="G30" i="18"/>
  <c r="H69" i="2"/>
  <c r="AA39" i="13"/>
  <c r="B41" i="11"/>
  <c r="D9" i="11" s="1" a="1"/>
  <c r="D9" i="11" s="1"/>
  <c r="E61" i="25"/>
  <c r="E108" i="2" s="1"/>
  <c r="E18" i="25" s="1"/>
  <c r="G52" i="2"/>
  <c r="G132" i="2"/>
  <c r="G63" i="25"/>
  <c r="G110" i="2" s="1"/>
  <c r="G29" i="8" s="1"/>
  <c r="H61" i="25"/>
  <c r="H108" i="2" s="1"/>
  <c r="H21" i="25" s="1"/>
  <c r="H34" i="25" s="1"/>
  <c r="E23" i="14"/>
  <c r="F67" i="2"/>
  <c r="F80" i="2"/>
  <c r="F64" i="2"/>
  <c r="H49" i="2"/>
  <c r="F30" i="18"/>
  <c r="AC39" i="13"/>
  <c r="H23" i="14"/>
  <c r="H138" i="2"/>
  <c r="H151" i="2"/>
  <c r="H27" i="8" s="1"/>
  <c r="H30" i="18"/>
  <c r="G90" i="2"/>
  <c r="F61" i="25"/>
  <c r="F108" i="2" s="1"/>
  <c r="F19" i="25" s="1"/>
  <c r="F34" i="25" s="1"/>
  <c r="E63" i="25"/>
  <c r="E110" i="2" s="1"/>
  <c r="D29" i="18" s="1"/>
  <c r="G151" i="2"/>
  <c r="F27" i="18" s="1"/>
  <c r="AD39" i="13"/>
  <c r="E156" i="2"/>
  <c r="H80" i="2"/>
  <c r="H81" i="2" s="1"/>
  <c r="H167" i="2"/>
  <c r="H63" i="25"/>
  <c r="H110" i="2" s="1"/>
  <c r="H29" i="8" s="1"/>
  <c r="Y41" i="13"/>
  <c r="H58" i="2"/>
  <c r="Z39" i="13"/>
  <c r="G167" i="2"/>
  <c r="F52" i="2"/>
  <c r="H67" i="2"/>
  <c r="E138" i="2"/>
  <c r="G138" i="2"/>
  <c r="H156" i="2"/>
  <c r="E30" i="18"/>
  <c r="E167" i="2"/>
  <c r="H132" i="2"/>
  <c r="H96" i="2"/>
  <c r="J5" i="28"/>
  <c r="M5" i="28"/>
  <c r="H6" i="13" a="1"/>
  <c r="H6" i="13" s="1"/>
  <c r="H7" i="13" a="1"/>
  <c r="H7" i="13" s="1"/>
  <c r="G15" i="6"/>
  <c r="C2" i="8"/>
  <c r="AH71" i="21" s="1"/>
  <c r="AH68" i="21"/>
  <c r="AH67" i="21"/>
  <c r="B2" i="18"/>
  <c r="C11" i="18"/>
  <c r="D11" i="8"/>
  <c r="L4" i="4" s="1"/>
  <c r="H10" i="18"/>
  <c r="C41" i="18" s="1"/>
  <c r="G8" i="20"/>
  <c r="V43" i="8"/>
  <c r="V52" i="8" s="1"/>
  <c r="V51" i="8" s="1"/>
  <c r="V50" i="8" s="1"/>
  <c r="H15" i="13"/>
  <c r="J68" i="13"/>
  <c r="J48" i="13"/>
  <c r="J58" i="13"/>
  <c r="G55" i="2"/>
  <c r="H20" i="13"/>
  <c r="H4" i="13"/>
  <c r="E132" i="2"/>
  <c r="E118" i="2"/>
  <c r="AC37" i="13"/>
  <c r="F118" i="2"/>
  <c r="I81" i="2"/>
  <c r="G118" i="2"/>
  <c r="H61" i="2"/>
  <c r="I151" i="2"/>
  <c r="H52" i="2"/>
  <c r="H64" i="2"/>
  <c r="F138" i="2"/>
  <c r="H118" i="2"/>
  <c r="H18" i="13"/>
  <c r="H99" i="13"/>
  <c r="J73" i="13"/>
  <c r="J69" i="13"/>
  <c r="H14" i="13"/>
  <c r="J76" i="13"/>
  <c r="H21" i="13"/>
  <c r="J21" i="13" s="1"/>
  <c r="J64" i="13"/>
  <c r="J46" i="13"/>
  <c r="H103" i="13"/>
  <c r="J91" i="13"/>
  <c r="H102" i="13"/>
  <c r="H10" i="13"/>
  <c r="J70" i="13"/>
  <c r="H27" i="13"/>
  <c r="J27" i="13" s="1"/>
  <c r="H101" i="13"/>
  <c r="J41" i="13"/>
  <c r="H9" i="13"/>
  <c r="J36" i="13"/>
  <c r="J43" i="13"/>
  <c r="H98" i="13"/>
  <c r="F69" i="2"/>
  <c r="F17" i="14" s="1"/>
  <c r="F61" i="2"/>
  <c r="I138" i="2"/>
  <c r="F58" i="2"/>
  <c r="F98" i="2"/>
  <c r="G58" i="2"/>
  <c r="G157" i="2"/>
  <c r="F55" i="2"/>
  <c r="G29" i="18"/>
  <c r="G87" i="2"/>
  <c r="T44" i="18"/>
  <c r="T45" i="18" s="1"/>
  <c r="T46" i="18" s="1"/>
  <c r="D77" i="16"/>
  <c r="I87" i="2"/>
  <c r="AD37" i="13"/>
  <c r="F49" i="2"/>
  <c r="J92" i="13"/>
  <c r="J61" i="13"/>
  <c r="J98" i="13"/>
  <c r="J86" i="13"/>
  <c r="J90" i="13"/>
  <c r="J96" i="13"/>
  <c r="J103" i="13"/>
  <c r="G15" i="11" a="1"/>
  <c r="G15" i="11" s="1"/>
  <c r="H21" i="2" s="1"/>
  <c r="D27" i="11" a="1"/>
  <c r="D27" i="11" s="1"/>
  <c r="C24" i="11" a="1"/>
  <c r="C24" i="11" s="1"/>
  <c r="B57" i="7" s="1"/>
  <c r="C33" i="11" a="1"/>
  <c r="C33" i="11" s="1"/>
  <c r="B81" i="7" s="1"/>
  <c r="E27" i="11" a="1"/>
  <c r="E27" i="11" s="1"/>
  <c r="F33" i="2" s="1"/>
  <c r="G12" i="11" a="1"/>
  <c r="G12" i="11" s="1"/>
  <c r="H18" i="2" s="1"/>
  <c r="D30" i="11" a="1"/>
  <c r="D30" i="11" s="1"/>
  <c r="E6" i="11" a="1"/>
  <c r="E6" i="11" s="1"/>
  <c r="F12" i="2" s="1"/>
  <c r="F18" i="11" a="1"/>
  <c r="F18" i="11" s="1"/>
  <c r="C30" i="11" a="1"/>
  <c r="C30" i="11" s="1"/>
  <c r="B73" i="7" s="1"/>
  <c r="H6" i="11" a="1"/>
  <c r="H6" i="11" s="1"/>
  <c r="G24" i="11" a="1"/>
  <c r="G24" i="11" s="1"/>
  <c r="D33" i="11" a="1"/>
  <c r="D33" i="11" s="1"/>
  <c r="E39" i="2" s="1"/>
  <c r="G30" i="11" a="1"/>
  <c r="G30" i="11" s="1"/>
  <c r="H36" i="2" s="1"/>
  <c r="C9" i="11" a="1"/>
  <c r="C9" i="11" s="1"/>
  <c r="B17" i="7" s="1"/>
  <c r="F15" i="11" a="1"/>
  <c r="F15" i="11" s="1"/>
  <c r="G21" i="2" s="1"/>
  <c r="F30" i="11" a="1"/>
  <c r="F30" i="11" s="1"/>
  <c r="G36" i="2" s="1"/>
  <c r="H9" i="11" a="1"/>
  <c r="H9" i="11" s="1"/>
  <c r="H12" i="11" a="1"/>
  <c r="H12" i="11" s="1"/>
  <c r="H18" i="11" a="1"/>
  <c r="H18" i="11" s="1"/>
  <c r="I24" i="2" s="1"/>
  <c r="G27" i="11" a="1"/>
  <c r="G27" i="11" s="1"/>
  <c r="F9" i="11" a="1"/>
  <c r="F9" i="11" s="1"/>
  <c r="D21" i="11" a="1"/>
  <c r="D21" i="11" s="1"/>
  <c r="E27" i="2" s="1"/>
  <c r="H33" i="11" a="1"/>
  <c r="H33" i="11" s="1"/>
  <c r="I39" i="2" s="1"/>
  <c r="C6" i="11" a="1"/>
  <c r="C6" i="11" s="1"/>
  <c r="B9" i="7" s="1"/>
  <c r="C12" i="11" a="1"/>
  <c r="C12" i="11" s="1"/>
  <c r="B25" i="7" s="1"/>
  <c r="E9" i="11" a="1"/>
  <c r="E9" i="11" s="1"/>
  <c r="F15" i="2" s="1"/>
  <c r="G9" i="11" a="1"/>
  <c r="G9" i="11" s="1"/>
  <c r="H15" i="2" s="1"/>
  <c r="F21" i="11" a="1"/>
  <c r="F21" i="11" s="1"/>
  <c r="F33" i="11" a="1"/>
  <c r="F33" i="11" s="1"/>
  <c r="G7" i="4"/>
  <c r="F6" i="11" a="1"/>
  <c r="F6" i="11" s="1"/>
  <c r="G12" i="2" s="1"/>
  <c r="E18" i="11" a="1"/>
  <c r="E18" i="11" s="1"/>
  <c r="G18" i="11" a="1"/>
  <c r="G18" i="11" s="1"/>
  <c r="J74" i="13"/>
  <c r="J44" i="13"/>
  <c r="J63" i="13"/>
  <c r="J89" i="13"/>
  <c r="J57" i="13"/>
  <c r="J24" i="13"/>
  <c r="J56" i="13"/>
  <c r="J72" i="13"/>
  <c r="J31" i="13"/>
  <c r="J40" i="13"/>
  <c r="J29" i="13"/>
  <c r="J99" i="13"/>
  <c r="J100" i="13"/>
  <c r="J18" i="13"/>
  <c r="J28" i="13"/>
  <c r="J38" i="13"/>
  <c r="J47" i="13"/>
  <c r="J20" i="13"/>
  <c r="J80" i="13"/>
  <c r="J33" i="13"/>
  <c r="J93" i="13"/>
  <c r="J95" i="13"/>
  <c r="J85" i="13"/>
  <c r="J66" i="13"/>
  <c r="J102" i="13"/>
  <c r="J88" i="13"/>
  <c r="J53" i="13"/>
  <c r="J67" i="13"/>
  <c r="J71" i="13"/>
  <c r="J97" i="13"/>
  <c r="J78" i="13"/>
  <c r="Z8" i="13"/>
  <c r="H63" i="16"/>
  <c r="Z35" i="13"/>
  <c r="AA8" i="13"/>
  <c r="AA35" i="13"/>
  <c r="B4" i="12"/>
  <c r="B3" i="20"/>
  <c r="B3" i="18"/>
  <c r="C3" i="2"/>
  <c r="AD16" i="13"/>
  <c r="D86" i="16" s="1"/>
  <c r="B87" i="16" s="1"/>
  <c r="V47" i="21"/>
  <c r="B2" i="17"/>
  <c r="B2" i="20"/>
  <c r="AA53" i="21"/>
  <c r="B6" i="21"/>
  <c r="Q44" i="21"/>
  <c r="AA55" i="21"/>
  <c r="B2" i="4"/>
  <c r="V45" i="21"/>
  <c r="V49" i="21"/>
  <c r="AA63" i="21"/>
  <c r="C2" i="2"/>
  <c r="D2" i="6"/>
  <c r="B2" i="7"/>
  <c r="B2" i="12"/>
  <c r="K35" i="21"/>
  <c r="AA62" i="21"/>
  <c r="K36" i="21"/>
  <c r="D76" i="16"/>
  <c r="AC8" i="13"/>
  <c r="AC35" i="13"/>
  <c r="F62" i="25"/>
  <c r="F109" i="2" s="1"/>
  <c r="F38" i="25" s="1"/>
  <c r="G62" i="25"/>
  <c r="G109" i="2" s="1"/>
  <c r="G38" i="25" s="1"/>
  <c r="H62" i="25"/>
  <c r="H109" i="2" s="1"/>
  <c r="H38" i="25" s="1"/>
  <c r="E62" i="25"/>
  <c r="E109" i="2" s="1"/>
  <c r="I62" i="25"/>
  <c r="I109" i="2" s="1"/>
  <c r="I38" i="25" s="1"/>
  <c r="H82" i="16"/>
  <c r="AB8" i="13"/>
  <c r="AB35" i="13"/>
  <c r="F87" i="2"/>
  <c r="F90" i="2"/>
  <c r="H61" i="16"/>
  <c r="H64" i="16"/>
  <c r="F93" i="2"/>
  <c r="D59" i="16"/>
  <c r="H59" i="16"/>
  <c r="J21" i="21"/>
  <c r="D46" i="8"/>
  <c r="D60" i="8" s="1"/>
  <c r="Z45" i="21"/>
  <c r="AM91" i="21" s="1"/>
  <c r="AN91" i="21" s="1"/>
  <c r="G14" i="20"/>
  <c r="G25" i="20" s="1"/>
  <c r="C46" i="18"/>
  <c r="C60" i="18" s="1"/>
  <c r="P36" i="21"/>
  <c r="J8" i="14"/>
  <c r="K8" i="14" s="1"/>
  <c r="L8" i="14" s="1"/>
  <c r="M8" i="14" s="1"/>
  <c r="N8" i="14" s="1"/>
  <c r="O8" i="14" s="1"/>
  <c r="P8" i="14" s="1"/>
  <c r="Q8" i="14" s="1"/>
  <c r="R8" i="14" s="1"/>
  <c r="S8" i="14" s="1"/>
  <c r="AA37" i="13"/>
  <c r="D69" i="16"/>
  <c r="R14" i="16" s="1"/>
  <c r="D30" i="18"/>
  <c r="AD8" i="13"/>
  <c r="AD35" i="13"/>
  <c r="L9" i="4"/>
  <c r="C62" i="18"/>
  <c r="C48" i="18"/>
  <c r="D78" i="16"/>
  <c r="D23" i="14"/>
  <c r="D48" i="8"/>
  <c r="D62" i="8"/>
  <c r="G9" i="20"/>
  <c r="G13" i="20" s="1"/>
  <c r="N26" i="20" s="1"/>
  <c r="AG62" i="21"/>
  <c r="J17" i="21"/>
  <c r="J18" i="21" s="1"/>
  <c r="I93" i="2"/>
  <c r="I90" i="2"/>
  <c r="E15" i="2"/>
  <c r="I50" i="25"/>
  <c r="H51" i="25"/>
  <c r="J4" i="14"/>
  <c r="H4" i="14"/>
  <c r="I3" i="14"/>
  <c r="J8" i="2"/>
  <c r="H8" i="2"/>
  <c r="I7" i="2"/>
  <c r="I4" i="11"/>
  <c r="G4" i="11"/>
  <c r="H3" i="11"/>
  <c r="E35" i="20"/>
  <c r="N8" i="20"/>
  <c r="D34" i="20"/>
  <c r="H9" i="12"/>
  <c r="I4" i="25"/>
  <c r="AD4" i="13"/>
  <c r="AD32" i="13"/>
  <c r="H16" i="8"/>
  <c r="J16" i="8"/>
  <c r="I15" i="8"/>
  <c r="E34" i="25"/>
  <c r="E15" i="25"/>
  <c r="F4" i="28"/>
  <c r="F5" i="28"/>
  <c r="O4" i="28"/>
  <c r="O5" i="28"/>
  <c r="H4" i="28"/>
  <c r="H5" i="28"/>
  <c r="N4" i="28"/>
  <c r="K4" i="28"/>
  <c r="K5" i="28"/>
  <c r="J4" i="28"/>
  <c r="G4" i="28"/>
  <c r="G5" i="28"/>
  <c r="J16" i="18"/>
  <c r="K17" i="18"/>
  <c r="T74" i="18"/>
  <c r="T75" i="18" s="1"/>
  <c r="T72" i="18"/>
  <c r="T71" i="18" s="1"/>
  <c r="E17" i="18"/>
  <c r="F16" i="18"/>
  <c r="V53" i="8"/>
  <c r="V54" i="8" s="1"/>
  <c r="H95" i="13" a="1"/>
  <c r="H89" i="13" a="1"/>
  <c r="H54" i="13" a="1"/>
  <c r="H100" i="13" a="1"/>
  <c r="H53" i="13" a="1"/>
  <c r="H16" i="13" a="1"/>
  <c r="H86" i="13" a="1"/>
  <c r="H61" i="13" a="1"/>
  <c r="H71" i="13" a="1"/>
  <c r="H26" i="13" a="1"/>
  <c r="H78" i="13" a="1"/>
  <c r="H12" i="13" a="1"/>
  <c r="H64" i="13" a="1"/>
  <c r="H8" i="13" a="1"/>
  <c r="H65" i="13" a="1"/>
  <c r="H51" i="13" a="1"/>
  <c r="H33" i="13" a="1"/>
  <c r="H68" i="13" a="1"/>
  <c r="H73" i="13" a="1"/>
  <c r="H48" i="13" a="1"/>
  <c r="H62" i="13" a="1"/>
  <c r="H46" i="13" a="1"/>
  <c r="H47" i="13" a="1"/>
  <c r="H94" i="13" a="1"/>
  <c r="H57" i="13" a="1"/>
  <c r="H70" i="13" a="1"/>
  <c r="H75" i="13" a="1"/>
  <c r="H45" i="13" a="1"/>
  <c r="H28" i="13" a="1"/>
  <c r="H50" i="13" a="1"/>
  <c r="H13" i="13" a="1"/>
  <c r="H80" i="13" a="1"/>
  <c r="H69" i="13" a="1"/>
  <c r="H42" i="13" a="1"/>
  <c r="H90" i="13" a="1"/>
  <c r="H32" i="13" a="1"/>
  <c r="H96" i="13" a="1"/>
  <c r="H79" i="13" a="1"/>
  <c r="H34" i="13" a="1"/>
  <c r="H55" i="13" a="1"/>
  <c r="H63" i="13" a="1"/>
  <c r="H39" i="13" a="1"/>
  <c r="H11" i="13" a="1"/>
  <c r="H24" i="13" a="1"/>
  <c r="H49" i="13" a="1"/>
  <c r="H77" i="13" a="1"/>
  <c r="H56" i="13" a="1"/>
  <c r="H66" i="13" a="1"/>
  <c r="H44" i="13" a="1"/>
  <c r="H59" i="13" a="1"/>
  <c r="H35" i="13" a="1"/>
  <c r="H19" i="13" a="1"/>
  <c r="H17" i="13" a="1"/>
  <c r="H41" i="13" a="1"/>
  <c r="H76" i="13" a="1"/>
  <c r="H97" i="13" a="1"/>
  <c r="H60" i="13" a="1"/>
  <c r="H84" i="13" a="1"/>
  <c r="H87" i="13" a="1"/>
  <c r="H31" i="13" a="1"/>
  <c r="H168" i="2" l="1"/>
  <c r="H15" i="25"/>
  <c r="F15" i="25"/>
  <c r="F111" i="2"/>
  <c r="G111" i="2"/>
  <c r="Z43" i="13"/>
  <c r="F29" i="8"/>
  <c r="C21" i="11" a="1"/>
  <c r="C21" i="11" s="1"/>
  <c r="B49" i="7" s="1"/>
  <c r="D24" i="11" a="1"/>
  <c r="D24" i="11" s="1"/>
  <c r="E30" i="2" s="1"/>
  <c r="H30" i="11" a="1"/>
  <c r="H30" i="11" s="1"/>
  <c r="I36" i="2" s="1"/>
  <c r="G21" i="11" a="1"/>
  <c r="G21" i="11" s="1"/>
  <c r="H27" i="2" s="1"/>
  <c r="F24" i="11" a="1"/>
  <c r="F24" i="11" s="1"/>
  <c r="F27" i="11" a="1"/>
  <c r="F27" i="11" s="1"/>
  <c r="G33" i="2" s="1"/>
  <c r="G34" i="2" s="1"/>
  <c r="E15" i="11" a="1"/>
  <c r="E15" i="11" s="1"/>
  <c r="F21" i="2" s="1"/>
  <c r="E12" i="11" a="1"/>
  <c r="E12" i="11" s="1"/>
  <c r="D6" i="11" a="1"/>
  <c r="D6" i="11" s="1"/>
  <c r="E12" i="2" s="1"/>
  <c r="G33" i="11" a="1"/>
  <c r="G33" i="11" s="1"/>
  <c r="H34" i="11" s="1"/>
  <c r="H15" i="11" a="1"/>
  <c r="H15" i="11" s="1"/>
  <c r="I21" i="2" s="1"/>
  <c r="I22" i="2" s="1"/>
  <c r="E33" i="11" a="1"/>
  <c r="E33" i="11" s="1"/>
  <c r="E34" i="11" s="1"/>
  <c r="F12" i="11" a="1"/>
  <c r="F12" i="11" s="1"/>
  <c r="G18" i="2" s="1"/>
  <c r="F29" i="18"/>
  <c r="L5" i="28"/>
  <c r="D15" i="11" a="1"/>
  <c r="D15" i="11" s="1"/>
  <c r="E16" i="11" s="1"/>
  <c r="H157" i="2"/>
  <c r="F157" i="2"/>
  <c r="C18" i="11" a="1"/>
  <c r="C18" i="11" s="1"/>
  <c r="B41" i="7" s="1"/>
  <c r="I4" i="28"/>
  <c r="E30" i="11" a="1"/>
  <c r="E30" i="11" s="1"/>
  <c r="F36" i="2" s="1"/>
  <c r="E29" i="8"/>
  <c r="H111" i="2"/>
  <c r="H139" i="2"/>
  <c r="F139" i="2"/>
  <c r="H12" i="14"/>
  <c r="H17" i="14"/>
  <c r="H60" i="16"/>
  <c r="G98" i="2"/>
  <c r="G99" i="2" s="1"/>
  <c r="G64" i="2"/>
  <c r="F23" i="14"/>
  <c r="F24" i="14" s="1"/>
  <c r="E31" i="18" s="1"/>
  <c r="I132" i="2"/>
  <c r="H55" i="2"/>
  <c r="C15" i="11" a="1"/>
  <c r="C15" i="11" s="1"/>
  <c r="B33" i="7" s="1"/>
  <c r="E98" i="2"/>
  <c r="F99" i="2" s="1"/>
  <c r="I98" i="2"/>
  <c r="G67" i="2"/>
  <c r="G49" i="2"/>
  <c r="F167" i="2"/>
  <c r="G168" i="2" s="1"/>
  <c r="I67" i="2"/>
  <c r="G81" i="2"/>
  <c r="G69" i="2"/>
  <c r="G12" i="14" s="1"/>
  <c r="E21" i="11" a="1"/>
  <c r="E21" i="11" s="1"/>
  <c r="F27" i="2" s="1"/>
  <c r="F28" i="2" s="1"/>
  <c r="H98" i="2"/>
  <c r="AE39" i="13"/>
  <c r="AF39" i="13" s="1"/>
  <c r="AG39" i="13" s="1"/>
  <c r="AH39" i="13" s="1"/>
  <c r="AI39" i="13" s="1"/>
  <c r="AJ39" i="13" s="1"/>
  <c r="AK39" i="13" s="1"/>
  <c r="AL39" i="13" s="1"/>
  <c r="AM39" i="13" s="1"/>
  <c r="AN39" i="13" s="1"/>
  <c r="H76" i="16"/>
  <c r="H77" i="16"/>
  <c r="F81" i="2"/>
  <c r="D82" i="16"/>
  <c r="I69" i="2"/>
  <c r="I17" i="14" s="1"/>
  <c r="I23" i="14"/>
  <c r="I24" i="14" s="1"/>
  <c r="H31" i="18" s="1"/>
  <c r="H88" i="16"/>
  <c r="E151" i="2"/>
  <c r="D27" i="18" s="1"/>
  <c r="H24" i="11" a="1"/>
  <c r="H24" i="11" s="1"/>
  <c r="I30" i="2" s="1"/>
  <c r="D75" i="16"/>
  <c r="I167" i="2"/>
  <c r="I64" i="2"/>
  <c r="I52" i="2"/>
  <c r="I96" i="2"/>
  <c r="G23" i="14"/>
  <c r="H24" i="14" s="1"/>
  <c r="G31" i="18" s="1"/>
  <c r="H17" i="13"/>
  <c r="H16" i="13"/>
  <c r="H66" i="13"/>
  <c r="H77" i="13"/>
  <c r="H63" i="13"/>
  <c r="H32" i="13"/>
  <c r="H50" i="13"/>
  <c r="H89" i="13"/>
  <c r="H94" i="13"/>
  <c r="H64" i="13"/>
  <c r="H86" i="13"/>
  <c r="H97" i="13"/>
  <c r="H19" i="13"/>
  <c r="H31" i="13"/>
  <c r="H42" i="13"/>
  <c r="H49" i="13"/>
  <c r="H33" i="13"/>
  <c r="H80" i="13"/>
  <c r="H28" i="13"/>
  <c r="H51" i="13"/>
  <c r="H47" i="13"/>
  <c r="H12" i="13"/>
  <c r="H87" i="13"/>
  <c r="H76" i="13"/>
  <c r="H35" i="13"/>
  <c r="H61" i="13"/>
  <c r="H68" i="13"/>
  <c r="H24" i="13"/>
  <c r="H55" i="13"/>
  <c r="H13" i="13"/>
  <c r="H45" i="13"/>
  <c r="H57" i="13"/>
  <c r="H46" i="13"/>
  <c r="H78" i="13"/>
  <c r="H84" i="13"/>
  <c r="H54" i="13"/>
  <c r="H59" i="13"/>
  <c r="H73" i="13"/>
  <c r="H96" i="13"/>
  <c r="H11" i="13"/>
  <c r="H34" i="13"/>
  <c r="H95" i="13"/>
  <c r="H75" i="13"/>
  <c r="H65" i="13"/>
  <c r="H62" i="13"/>
  <c r="H26" i="13"/>
  <c r="H53" i="13"/>
  <c r="H41" i="13"/>
  <c r="H44" i="13"/>
  <c r="H56" i="13"/>
  <c r="H69" i="13"/>
  <c r="H39" i="13"/>
  <c r="H79" i="13"/>
  <c r="H90" i="13"/>
  <c r="H70" i="13"/>
  <c r="H8" i="13"/>
  <c r="H48" i="13"/>
  <c r="H71" i="13"/>
  <c r="H60" i="13"/>
  <c r="H100" i="13"/>
  <c r="H89" i="16"/>
  <c r="C27" i="11" a="1"/>
  <c r="C27" i="11" s="1"/>
  <c r="B65" i="7" s="1"/>
  <c r="F96" i="2"/>
  <c r="AB37" i="13"/>
  <c r="D64" i="16"/>
  <c r="I15" i="25"/>
  <c r="H27" i="11" a="1"/>
  <c r="H27" i="11" s="1"/>
  <c r="I33" i="2" s="1"/>
  <c r="I55" i="2"/>
  <c r="I49" i="2"/>
  <c r="E69" i="2"/>
  <c r="F70" i="2" s="1"/>
  <c r="I139" i="2"/>
  <c r="H21" i="11" a="1"/>
  <c r="H21" i="11" s="1"/>
  <c r="I27" i="2" s="1"/>
  <c r="I28" i="2" s="1"/>
  <c r="G6" i="11" a="1"/>
  <c r="G6" i="11" s="1"/>
  <c r="H12" i="2" s="1"/>
  <c r="H13" i="2" s="1"/>
  <c r="G15" i="25"/>
  <c r="I58" i="2"/>
  <c r="I111" i="2"/>
  <c r="V44" i="8"/>
  <c r="V45" i="8" s="1"/>
  <c r="H93" i="2"/>
  <c r="V42" i="8"/>
  <c r="V41" i="8" s="1"/>
  <c r="AE12" i="13"/>
  <c r="AF12" i="13" s="1"/>
  <c r="AG12" i="13" s="1"/>
  <c r="D12" i="11" a="1"/>
  <c r="D12" i="11" s="1"/>
  <c r="E18" i="2" s="1"/>
  <c r="H87" i="2"/>
  <c r="M4" i="28"/>
  <c r="E24" i="11" a="1"/>
  <c r="E24" i="11" s="1"/>
  <c r="F30" i="2" s="1"/>
  <c r="F31" i="2" s="1"/>
  <c r="D18" i="11" a="1"/>
  <c r="D18" i="11" s="1"/>
  <c r="E24" i="2" s="1"/>
  <c r="I29" i="8"/>
  <c r="Z37" i="13"/>
  <c r="Z41" i="13" s="1"/>
  <c r="I157" i="2"/>
  <c r="I70" i="2"/>
  <c r="I152" i="2"/>
  <c r="G27" i="18"/>
  <c r="F12" i="14"/>
  <c r="I12" i="14"/>
  <c r="I27" i="8"/>
  <c r="F119" i="2"/>
  <c r="G119" i="2"/>
  <c r="G27" i="8"/>
  <c r="H99" i="2"/>
  <c r="H152" i="2"/>
  <c r="H119" i="2"/>
  <c r="H27" i="18"/>
  <c r="I119" i="2"/>
  <c r="G152" i="2"/>
  <c r="E27" i="18"/>
  <c r="I168" i="2"/>
  <c r="G28" i="11"/>
  <c r="H30" i="2"/>
  <c r="T53" i="18"/>
  <c r="T54" i="18" s="1"/>
  <c r="T55" i="18" s="1"/>
  <c r="T43" i="18"/>
  <c r="T42" i="18" s="1"/>
  <c r="E24" i="14"/>
  <c r="D31" i="18" s="1"/>
  <c r="H19" i="11"/>
  <c r="H31" i="11"/>
  <c r="F28" i="11"/>
  <c r="H13" i="11"/>
  <c r="E36" i="2"/>
  <c r="G16" i="11"/>
  <c r="F34" i="11"/>
  <c r="H16" i="11"/>
  <c r="H54" i="16"/>
  <c r="H10" i="11"/>
  <c r="G31" i="11"/>
  <c r="F39" i="2"/>
  <c r="F40" i="2" s="1"/>
  <c r="G10" i="11"/>
  <c r="F13" i="11"/>
  <c r="P21" i="7"/>
  <c r="G27" i="2"/>
  <c r="I15" i="2"/>
  <c r="I16" i="2" s="1"/>
  <c r="I12" i="2"/>
  <c r="G22" i="11"/>
  <c r="P13" i="7"/>
  <c r="P15" i="7" s="1"/>
  <c r="E10" i="11"/>
  <c r="E21" i="2"/>
  <c r="F22" i="2" s="1"/>
  <c r="F24" i="2"/>
  <c r="H39" i="2"/>
  <c r="I40" i="2" s="1"/>
  <c r="H33" i="2"/>
  <c r="F18" i="2"/>
  <c r="P85" i="7"/>
  <c r="F85" i="7" s="1"/>
  <c r="F83" i="7" s="1" a="1"/>
  <c r="F83" i="7" s="1"/>
  <c r="I33" i="11" s="1"/>
  <c r="D52" i="16"/>
  <c r="G39" i="2"/>
  <c r="G15" i="2"/>
  <c r="H16" i="2" s="1"/>
  <c r="F10" i="11"/>
  <c r="F19" i="11"/>
  <c r="H55" i="16"/>
  <c r="G133" i="2"/>
  <c r="G24" i="2"/>
  <c r="E7" i="11"/>
  <c r="E33" i="2"/>
  <c r="F7" i="11"/>
  <c r="I18" i="2"/>
  <c r="I19" i="2" s="1"/>
  <c r="P69" i="7"/>
  <c r="H133" i="2"/>
  <c r="E28" i="11"/>
  <c r="G25" i="11"/>
  <c r="G30" i="2"/>
  <c r="H24" i="2"/>
  <c r="G19" i="11"/>
  <c r="I133" i="2"/>
  <c r="G139" i="2"/>
  <c r="V15" i="16"/>
  <c r="H41" i="25"/>
  <c r="H46" i="25"/>
  <c r="H43" i="25"/>
  <c r="H11" i="25" s="1"/>
  <c r="H45" i="25" s="1"/>
  <c r="I46" i="25"/>
  <c r="I41" i="25"/>
  <c r="I43" i="25"/>
  <c r="I11" i="25" s="1"/>
  <c r="I45" i="25" s="1"/>
  <c r="E27" i="8"/>
  <c r="F152" i="2"/>
  <c r="G46" i="25"/>
  <c r="G43" i="25"/>
  <c r="G11" i="25" s="1"/>
  <c r="G45" i="25" s="1"/>
  <c r="G41" i="25"/>
  <c r="F41" i="25"/>
  <c r="F46" i="25"/>
  <c r="F43" i="25"/>
  <c r="F11" i="25" s="1"/>
  <c r="F45" i="25" s="1"/>
  <c r="E38" i="25"/>
  <c r="E46" i="25" s="1"/>
  <c r="D65" i="16"/>
  <c r="T43" i="21"/>
  <c r="AG53" i="21"/>
  <c r="D12" i="8"/>
  <c r="C12" i="18"/>
  <c r="D63" i="16"/>
  <c r="F133" i="2"/>
  <c r="H31" i="8"/>
  <c r="H19" i="2"/>
  <c r="G22" i="2"/>
  <c r="F13" i="2"/>
  <c r="E58" i="20"/>
  <c r="H15" i="8"/>
  <c r="G16" i="8"/>
  <c r="K4" i="14"/>
  <c r="J3" i="14"/>
  <c r="G51" i="25"/>
  <c r="H50" i="25"/>
  <c r="AE4" i="13"/>
  <c r="AC4" i="13"/>
  <c r="AD3" i="13"/>
  <c r="I37" i="2"/>
  <c r="F16" i="2"/>
  <c r="H4" i="25"/>
  <c r="J4" i="25"/>
  <c r="I3" i="25"/>
  <c r="G8" i="2"/>
  <c r="H7" i="2"/>
  <c r="G13" i="2"/>
  <c r="G9" i="12"/>
  <c r="C22" i="25"/>
  <c r="H8" i="12"/>
  <c r="I9" i="12"/>
  <c r="F4" i="11"/>
  <c r="G3" i="11"/>
  <c r="J7" i="2"/>
  <c r="K8" i="2"/>
  <c r="AE32" i="13"/>
  <c r="AD31" i="13"/>
  <c r="AC32" i="13"/>
  <c r="J4" i="11"/>
  <c r="I3" i="11"/>
  <c r="F35" i="20"/>
  <c r="E34" i="20"/>
  <c r="H37" i="2"/>
  <c r="G37" i="2"/>
  <c r="B9" i="21"/>
  <c r="K34" i="21"/>
  <c r="P54" i="16"/>
  <c r="P51" i="16"/>
  <c r="K33" i="21"/>
  <c r="F8" i="7"/>
  <c r="G8" i="7" s="1"/>
  <c r="H8" i="7" s="1"/>
  <c r="I8" i="7" s="1"/>
  <c r="J8" i="7" s="1"/>
  <c r="K8" i="7" s="1"/>
  <c r="L8" i="7" s="1"/>
  <c r="M8" i="7" s="1"/>
  <c r="N8" i="7" s="1"/>
  <c r="O8" i="7" s="1"/>
  <c r="J15" i="8"/>
  <c r="K16" i="8"/>
  <c r="H3" i="14"/>
  <c r="G4" i="14"/>
  <c r="H22" i="2"/>
  <c r="AR7" i="13"/>
  <c r="AA41" i="13"/>
  <c r="AA43" i="13"/>
  <c r="K16" i="18"/>
  <c r="L17" i="18"/>
  <c r="D17" i="18"/>
  <c r="D16" i="18" s="1"/>
  <c r="E16" i="18"/>
  <c r="E16" i="25" l="1"/>
  <c r="F168" i="2"/>
  <c r="G34" i="11"/>
  <c r="D54" i="16"/>
  <c r="G13" i="11"/>
  <c r="F16" i="11"/>
  <c r="G70" i="2"/>
  <c r="E31" i="11"/>
  <c r="P37" i="7"/>
  <c r="F37" i="7" s="1"/>
  <c r="F37" i="2"/>
  <c r="F31" i="11"/>
  <c r="P77" i="7"/>
  <c r="F77" i="7" s="1"/>
  <c r="G77" i="7" s="1"/>
  <c r="H70" i="2"/>
  <c r="V14" i="16" a="1"/>
  <c r="V14" i="16" s="1"/>
  <c r="G17" i="14"/>
  <c r="P53" i="7"/>
  <c r="P55" i="7" s="1"/>
  <c r="G28" i="2"/>
  <c r="H22" i="11"/>
  <c r="H25" i="11"/>
  <c r="H28" i="11"/>
  <c r="F69" i="7"/>
  <c r="F67" i="7" s="1" a="1"/>
  <c r="F67" i="7" s="1"/>
  <c r="I27" i="11" s="1"/>
  <c r="J33" i="2" s="1"/>
  <c r="J34" i="2" s="1"/>
  <c r="I31" i="2"/>
  <c r="D36" i="11" a="1"/>
  <c r="D36" i="11" s="1"/>
  <c r="E35" i="25" s="1"/>
  <c r="I16" i="25"/>
  <c r="E22" i="11"/>
  <c r="H16" i="25"/>
  <c r="F16" i="25"/>
  <c r="D51" i="16"/>
  <c r="G16" i="25"/>
  <c r="I34" i="2"/>
  <c r="I99" i="2"/>
  <c r="H7" i="11"/>
  <c r="P61" i="7"/>
  <c r="F61" i="7" s="1"/>
  <c r="G61" i="7" s="1"/>
  <c r="H61" i="7" s="1"/>
  <c r="F19" i="2"/>
  <c r="G7" i="11"/>
  <c r="G36" i="11" s="1" a="1"/>
  <c r="G36" i="11" s="1"/>
  <c r="G20" i="12" s="1"/>
  <c r="G24" i="14"/>
  <c r="H53" i="16"/>
  <c r="E13" i="11"/>
  <c r="P45" i="7"/>
  <c r="F45" i="7" s="1"/>
  <c r="G45" i="7" s="1"/>
  <c r="H45" i="7" s="1"/>
  <c r="AR6" i="13"/>
  <c r="F22" i="11"/>
  <c r="H105" i="13"/>
  <c r="E17" i="14"/>
  <c r="E12" i="14"/>
  <c r="AE37" i="13"/>
  <c r="AF37" i="13" s="1"/>
  <c r="AG37" i="13" s="1"/>
  <c r="AH37" i="13" s="1"/>
  <c r="AI37" i="13" s="1"/>
  <c r="AJ37" i="13" s="1"/>
  <c r="AK37" i="13" s="1"/>
  <c r="AL37" i="13" s="1"/>
  <c r="AM37" i="13" s="1"/>
  <c r="AN37" i="13" s="1"/>
  <c r="H52" i="16"/>
  <c r="G31" i="2"/>
  <c r="I13" i="2"/>
  <c r="E19" i="11"/>
  <c r="F25" i="11"/>
  <c r="H51" i="16"/>
  <c r="F55" i="7"/>
  <c r="G55" i="7" s="1"/>
  <c r="H55" i="7" s="1"/>
  <c r="I55" i="7" s="1"/>
  <c r="J55" i="7" s="1"/>
  <c r="K55" i="7" s="1"/>
  <c r="L55" i="7" s="1"/>
  <c r="M55" i="7" s="1"/>
  <c r="N55" i="7" s="1"/>
  <c r="O55" i="7" s="1"/>
  <c r="E25" i="11"/>
  <c r="I31" i="8"/>
  <c r="D53" i="16"/>
  <c r="F25" i="2"/>
  <c r="P29" i="7"/>
  <c r="F29" i="7" s="1"/>
  <c r="F27" i="7" s="1" a="1"/>
  <c r="F27" i="7" s="1"/>
  <c r="I12" i="11" s="1"/>
  <c r="J18" i="2" s="1"/>
  <c r="J19" i="2" s="1"/>
  <c r="D55" i="16"/>
  <c r="J82" i="13"/>
  <c r="J45" i="13"/>
  <c r="J30" i="13"/>
  <c r="J75" i="13"/>
  <c r="J50" i="13"/>
  <c r="J25" i="13"/>
  <c r="J62" i="13"/>
  <c r="J42" i="13"/>
  <c r="J84" i="13"/>
  <c r="J49" i="13"/>
  <c r="J23" i="13"/>
  <c r="J26" i="13"/>
  <c r="J83" i="13"/>
  <c r="J39" i="13"/>
  <c r="J22" i="13"/>
  <c r="J94" i="13"/>
  <c r="J81" i="13"/>
  <c r="J60" i="13"/>
  <c r="J34" i="13"/>
  <c r="J59" i="13"/>
  <c r="J79" i="13"/>
  <c r="J54" i="13"/>
  <c r="J52" i="13"/>
  <c r="J35" i="13"/>
  <c r="J77" i="13"/>
  <c r="J19" i="13"/>
  <c r="J17" i="13"/>
  <c r="J32" i="13"/>
  <c r="J37" i="13"/>
  <c r="J87" i="13"/>
  <c r="J51" i="13"/>
  <c r="J65" i="13"/>
  <c r="F31" i="8"/>
  <c r="J11" i="13"/>
  <c r="J12" i="13"/>
  <c r="J14" i="13"/>
  <c r="J15" i="13"/>
  <c r="J13" i="13"/>
  <c r="J16" i="13"/>
  <c r="T52" i="18"/>
  <c r="T51" i="18" s="1"/>
  <c r="E31" i="8"/>
  <c r="P14" i="7"/>
  <c r="H28" i="2"/>
  <c r="G19" i="2"/>
  <c r="H31" i="2"/>
  <c r="G40" i="2"/>
  <c r="H40" i="2"/>
  <c r="E42" i="2" a="1"/>
  <c r="E42" i="2" s="1"/>
  <c r="H36" i="11" a="1"/>
  <c r="H36" i="11" s="1"/>
  <c r="H22" i="12" s="1"/>
  <c r="P54" i="7"/>
  <c r="F54" i="7" s="1"/>
  <c r="G54" i="7" s="1"/>
  <c r="H54" i="7" s="1"/>
  <c r="I54" i="7" s="1"/>
  <c r="J54" i="7" s="1"/>
  <c r="K54" i="7" s="1"/>
  <c r="L54" i="7" s="1"/>
  <c r="M54" i="7" s="1"/>
  <c r="N54" i="7" s="1"/>
  <c r="O54" i="7" s="1"/>
  <c r="F34" i="2"/>
  <c r="H34" i="2"/>
  <c r="G85" i="7"/>
  <c r="H85" i="7" s="1"/>
  <c r="P86" i="7"/>
  <c r="F86" i="7" s="1"/>
  <c r="G86" i="7" s="1"/>
  <c r="H86" i="7" s="1"/>
  <c r="I86" i="7" s="1"/>
  <c r="J86" i="7" s="1"/>
  <c r="K86" i="7" s="1"/>
  <c r="L86" i="7" s="1"/>
  <c r="M86" i="7" s="1"/>
  <c r="N86" i="7" s="1"/>
  <c r="O86" i="7" s="1"/>
  <c r="P87" i="7"/>
  <c r="F87" i="7" s="1"/>
  <c r="G87" i="7" s="1"/>
  <c r="H87" i="7" s="1"/>
  <c r="I87" i="7" s="1"/>
  <c r="J87" i="7" s="1"/>
  <c r="K87" i="7" s="1"/>
  <c r="L87" i="7" s="1"/>
  <c r="M87" i="7" s="1"/>
  <c r="N87" i="7" s="1"/>
  <c r="O87" i="7" s="1"/>
  <c r="F53" i="7"/>
  <c r="G53" i="7" s="1"/>
  <c r="G25" i="2"/>
  <c r="G16" i="2"/>
  <c r="H25" i="2"/>
  <c r="E14" i="14"/>
  <c r="I25" i="2"/>
  <c r="P70" i="7"/>
  <c r="F70" i="7" s="1"/>
  <c r="G70" i="7" s="1"/>
  <c r="H70" i="7" s="1"/>
  <c r="I70" i="7" s="1"/>
  <c r="J70" i="7" s="1"/>
  <c r="K70" i="7" s="1"/>
  <c r="L70" i="7" s="1"/>
  <c r="M70" i="7" s="1"/>
  <c r="N70" i="7" s="1"/>
  <c r="O70" i="7" s="1"/>
  <c r="P71" i="7"/>
  <c r="F71" i="7" s="1"/>
  <c r="G71" i="7" s="1"/>
  <c r="H71" i="7" s="1"/>
  <c r="I71" i="7" s="1"/>
  <c r="J71" i="7" s="1"/>
  <c r="K71" i="7" s="1"/>
  <c r="L71" i="7" s="1"/>
  <c r="M71" i="7" s="1"/>
  <c r="N71" i="7" s="1"/>
  <c r="O71" i="7" s="1"/>
  <c r="J5" i="13"/>
  <c r="J7" i="13"/>
  <c r="J8" i="13"/>
  <c r="J10" i="13"/>
  <c r="J6" i="13"/>
  <c r="J9" i="13"/>
  <c r="J4" i="13"/>
  <c r="E41" i="25"/>
  <c r="E43" i="25"/>
  <c r="E11" i="25" s="1"/>
  <c r="R16" i="16" a="1"/>
  <c r="R16" i="16" s="1"/>
  <c r="AH94" i="21"/>
  <c r="AH92" i="21"/>
  <c r="AH90" i="21"/>
  <c r="AH91" i="21"/>
  <c r="AL66" i="21"/>
  <c r="P53" i="16"/>
  <c r="G35" i="20"/>
  <c r="F34" i="20"/>
  <c r="F58" i="20"/>
  <c r="K7" i="2"/>
  <c r="L8" i="2"/>
  <c r="G4" i="25"/>
  <c r="H3" i="25"/>
  <c r="F8" i="2"/>
  <c r="G7" i="2"/>
  <c r="G15" i="8"/>
  <c r="F16" i="8"/>
  <c r="E4" i="11"/>
  <c r="F3" i="11"/>
  <c r="K4" i="11"/>
  <c r="J3" i="11"/>
  <c r="AC3" i="13"/>
  <c r="AB4" i="13"/>
  <c r="F35" i="7" a="1"/>
  <c r="F35" i="7" s="1"/>
  <c r="I15" i="11" s="1"/>
  <c r="G37" i="7"/>
  <c r="G3" i="14"/>
  <c r="F4" i="14"/>
  <c r="I8" i="12"/>
  <c r="J9" i="12"/>
  <c r="AF4" i="13"/>
  <c r="AE3" i="13"/>
  <c r="AC31" i="13"/>
  <c r="AB32" i="13"/>
  <c r="C23" i="25"/>
  <c r="C24" i="25" s="1"/>
  <c r="C25" i="25" s="1"/>
  <c r="C26" i="25" s="1"/>
  <c r="C27" i="25" s="1"/>
  <c r="C28" i="25" s="1"/>
  <c r="C29" i="25" s="1"/>
  <c r="C30" i="25" s="1"/>
  <c r="C31" i="25" s="1"/>
  <c r="C32" i="25" s="1"/>
  <c r="C21" i="25"/>
  <c r="C20" i="25" s="1"/>
  <c r="C19" i="25" s="1"/>
  <c r="C18" i="25" s="1"/>
  <c r="L16" i="8"/>
  <c r="K15" i="8"/>
  <c r="AM66" i="21" s="1"/>
  <c r="F75" i="7" a="1"/>
  <c r="F75" i="7" s="1"/>
  <c r="I30" i="11" s="1"/>
  <c r="K26" i="21"/>
  <c r="K27" i="21"/>
  <c r="AE31" i="13"/>
  <c r="AF32" i="13"/>
  <c r="F9" i="12"/>
  <c r="G8" i="12"/>
  <c r="L4" i="14"/>
  <c r="K3" i="14"/>
  <c r="G50" i="25"/>
  <c r="F51" i="25"/>
  <c r="J39" i="2"/>
  <c r="J40" i="2" s="1"/>
  <c r="I34" i="11"/>
  <c r="K4" i="25"/>
  <c r="J3" i="25"/>
  <c r="AB41" i="13"/>
  <c r="AB43" i="13"/>
  <c r="AH12" i="13"/>
  <c r="AR8" i="13"/>
  <c r="L16" i="18"/>
  <c r="M17" i="18"/>
  <c r="D15" i="12" l="1"/>
  <c r="D20" i="12"/>
  <c r="D17" i="12"/>
  <c r="E39" i="25"/>
  <c r="D14" i="12"/>
  <c r="R15" i="16" a="1"/>
  <c r="R15" i="16" s="1"/>
  <c r="I13" i="11"/>
  <c r="D24" i="12"/>
  <c r="P38" i="7"/>
  <c r="F38" i="7" s="1"/>
  <c r="G38" i="7" s="1"/>
  <c r="H38" i="7" s="1"/>
  <c r="I38" i="7" s="1"/>
  <c r="J38" i="7" s="1"/>
  <c r="K38" i="7" s="1"/>
  <c r="L38" i="7" s="1"/>
  <c r="M38" i="7" s="1"/>
  <c r="N38" i="7" s="1"/>
  <c r="O38" i="7" s="1"/>
  <c r="P39" i="7"/>
  <c r="F39" i="7" s="1"/>
  <c r="G39" i="7" s="1"/>
  <c r="H39" i="7" s="1"/>
  <c r="I39" i="7" s="1"/>
  <c r="J39" i="7" s="1"/>
  <c r="K39" i="7" s="1"/>
  <c r="L39" i="7" s="1"/>
  <c r="M39" i="7" s="1"/>
  <c r="N39" i="7" s="1"/>
  <c r="O39" i="7" s="1"/>
  <c r="P78" i="7"/>
  <c r="F78" i="7" s="1"/>
  <c r="G78" i="7" s="1"/>
  <c r="H78" i="7" s="1"/>
  <c r="I78" i="7" s="1"/>
  <c r="J78" i="7" s="1"/>
  <c r="K78" i="7" s="1"/>
  <c r="L78" i="7" s="1"/>
  <c r="M78" i="7" s="1"/>
  <c r="N78" i="7" s="1"/>
  <c r="O78" i="7" s="1"/>
  <c r="H87" i="16"/>
  <c r="V16" i="16" s="1" a="1"/>
  <c r="V16" i="16" s="1"/>
  <c r="B4" i="17" s="1" a="1"/>
  <c r="B4" i="17" s="1"/>
  <c r="D22" i="12"/>
  <c r="P79" i="7"/>
  <c r="F79" i="7" s="1"/>
  <c r="G79" i="7" s="1"/>
  <c r="H79" i="7" s="1"/>
  <c r="I79" i="7" s="1"/>
  <c r="J79" i="7" s="1"/>
  <c r="K79" i="7" s="1"/>
  <c r="L79" i="7" s="1"/>
  <c r="M79" i="7" s="1"/>
  <c r="N79" i="7" s="1"/>
  <c r="O79" i="7" s="1"/>
  <c r="G59" i="7" a="1"/>
  <c r="G59" i="7" s="1"/>
  <c r="J24" i="11" s="1"/>
  <c r="D18" i="12"/>
  <c r="D19" i="12"/>
  <c r="I28" i="11"/>
  <c r="F59" i="7" a="1"/>
  <c r="F59" i="7" s="1"/>
  <c r="I24" i="11" s="1"/>
  <c r="I25" i="11" s="1"/>
  <c r="D13" i="12"/>
  <c r="E19" i="14"/>
  <c r="P31" i="7"/>
  <c r="F31" i="7" s="1"/>
  <c r="G31" i="7" s="1"/>
  <c r="H31" i="7" s="1"/>
  <c r="I31" i="7" s="1"/>
  <c r="J31" i="7" s="1"/>
  <c r="K31" i="7" s="1"/>
  <c r="L31" i="7" s="1"/>
  <c r="M31" i="7" s="1"/>
  <c r="N31" i="7" s="1"/>
  <c r="O31" i="7" s="1"/>
  <c r="F43" i="7" a="1"/>
  <c r="F43" i="7" s="1"/>
  <c r="I18" i="11" s="1"/>
  <c r="J24" i="2" s="1"/>
  <c r="J25" i="2" s="1"/>
  <c r="F36" i="11" a="1"/>
  <c r="F36" i="11" s="1"/>
  <c r="G10" i="14" s="1"/>
  <c r="G69" i="7"/>
  <c r="H69" i="7" s="1"/>
  <c r="D20" i="18"/>
  <c r="P63" i="7"/>
  <c r="F63" i="7" s="1"/>
  <c r="G63" i="7" s="1"/>
  <c r="H63" i="7" s="1"/>
  <c r="I63" i="7" s="1"/>
  <c r="J63" i="7" s="1"/>
  <c r="K63" i="7" s="1"/>
  <c r="L63" i="7" s="1"/>
  <c r="M63" i="7" s="1"/>
  <c r="N63" i="7" s="1"/>
  <c r="O63" i="7" s="1"/>
  <c r="P46" i="7"/>
  <c r="F46" i="7" s="1"/>
  <c r="G46" i="7" s="1"/>
  <c r="H46" i="7" s="1"/>
  <c r="I46" i="7" s="1"/>
  <c r="J46" i="7" s="1"/>
  <c r="K46" i="7" s="1"/>
  <c r="L46" i="7" s="1"/>
  <c r="M46" i="7" s="1"/>
  <c r="N46" i="7" s="1"/>
  <c r="O46" i="7" s="1"/>
  <c r="E20" i="8"/>
  <c r="D16" i="12"/>
  <c r="G43" i="7" a="1"/>
  <c r="G43" i="7" s="1"/>
  <c r="J18" i="11" s="1"/>
  <c r="P30" i="7"/>
  <c r="F30" i="7" s="1"/>
  <c r="G30" i="7" s="1"/>
  <c r="H30" i="7" s="1"/>
  <c r="I30" i="7" s="1"/>
  <c r="J30" i="7" s="1"/>
  <c r="K30" i="7" s="1"/>
  <c r="L30" i="7" s="1"/>
  <c r="M30" i="7" s="1"/>
  <c r="N30" i="7" s="1"/>
  <c r="O30" i="7" s="1"/>
  <c r="P47" i="7"/>
  <c r="F47" i="7" s="1"/>
  <c r="G47" i="7" s="1"/>
  <c r="H47" i="7" s="1"/>
  <c r="I47" i="7" s="1"/>
  <c r="J47" i="7" s="1"/>
  <c r="K47" i="7" s="1"/>
  <c r="L47" i="7" s="1"/>
  <c r="M47" i="7" s="1"/>
  <c r="N47" i="7" s="1"/>
  <c r="O47" i="7" s="1"/>
  <c r="E10" i="14"/>
  <c r="D21" i="12"/>
  <c r="AQ6" i="13" a="1"/>
  <c r="AQ6" i="13" s="1"/>
  <c r="AQ7" i="13" s="1"/>
  <c r="P62" i="7"/>
  <c r="F62" i="7" s="1"/>
  <c r="G62" i="7" s="1"/>
  <c r="H62" i="7" s="1"/>
  <c r="I62" i="7" s="1"/>
  <c r="J62" i="7" s="1"/>
  <c r="K62" i="7" s="1"/>
  <c r="L62" i="7" s="1"/>
  <c r="M62" i="7" s="1"/>
  <c r="N62" i="7" s="1"/>
  <c r="O62" i="7" s="1"/>
  <c r="E36" i="11" a="1"/>
  <c r="E36" i="11" s="1"/>
  <c r="E37" i="11" s="1"/>
  <c r="F31" i="18"/>
  <c r="G31" i="8"/>
  <c r="G29" i="7"/>
  <c r="H29" i="7" s="1"/>
  <c r="H27" i="7" s="1" a="1"/>
  <c r="H27" i="7" s="1"/>
  <c r="K12" i="11" s="1"/>
  <c r="F42" i="2" a="1"/>
  <c r="F42" i="2" s="1"/>
  <c r="E30" i="12" s="1"/>
  <c r="D36" i="12"/>
  <c r="D33" i="12"/>
  <c r="D35" i="12"/>
  <c r="D32" i="12"/>
  <c r="D31" i="12"/>
  <c r="D30" i="12"/>
  <c r="D45" i="12"/>
  <c r="E73" i="2"/>
  <c r="I42" i="2" a="1"/>
  <c r="I42" i="2" s="1"/>
  <c r="G67" i="7" a="1"/>
  <c r="G67" i="7" s="1"/>
  <c r="J27" i="11" s="1"/>
  <c r="J28" i="11" s="1"/>
  <c r="AS6" i="13" a="1"/>
  <c r="AS6" i="13" s="1"/>
  <c r="AS7" i="13" s="1"/>
  <c r="AS8" i="13" s="1"/>
  <c r="AS9" i="13" s="1"/>
  <c r="AS10" i="13" s="1"/>
  <c r="AS11" i="13" s="1"/>
  <c r="AS12" i="13" s="1"/>
  <c r="AS13" i="13" s="1"/>
  <c r="AS14" i="13" s="1"/>
  <c r="AS15" i="13" s="1"/>
  <c r="G83" i="7" a="1"/>
  <c r="G83" i="7" s="1"/>
  <c r="J33" i="11" s="1"/>
  <c r="K39" i="2" s="1"/>
  <c r="K40" i="2" s="1"/>
  <c r="F12" i="25"/>
  <c r="J30" i="2"/>
  <c r="J31" i="2" s="1"/>
  <c r="I35" i="25"/>
  <c r="I19" i="14"/>
  <c r="I20" i="8"/>
  <c r="E19" i="12"/>
  <c r="H14" i="12"/>
  <c r="I14" i="14"/>
  <c r="H20" i="18"/>
  <c r="H24" i="12"/>
  <c r="H16" i="12"/>
  <c r="H17" i="12"/>
  <c r="E13" i="12"/>
  <c r="H20" i="12"/>
  <c r="H19" i="12"/>
  <c r="D43" i="12"/>
  <c r="H42" i="2" a="1"/>
  <c r="H42" i="2" s="1"/>
  <c r="H21" i="12"/>
  <c r="D44" i="12"/>
  <c r="H13" i="12"/>
  <c r="E20" i="18"/>
  <c r="E21" i="18" s="1"/>
  <c r="I12" i="25"/>
  <c r="H18" i="12"/>
  <c r="H15" i="12"/>
  <c r="I39" i="25"/>
  <c r="I10" i="14"/>
  <c r="D29" i="12"/>
  <c r="G12" i="25"/>
  <c r="F16" i="12"/>
  <c r="G42" i="2" a="1"/>
  <c r="G42" i="2" s="1"/>
  <c r="F51" i="7" a="1"/>
  <c r="F51" i="7" s="1"/>
  <c r="I21" i="11" s="1"/>
  <c r="J27" i="2" s="1"/>
  <c r="G22" i="12"/>
  <c r="F15" i="12"/>
  <c r="F20" i="18"/>
  <c r="F20" i="12"/>
  <c r="G13" i="12"/>
  <c r="G17" i="12"/>
  <c r="G21" i="12"/>
  <c r="H35" i="25"/>
  <c r="G24" i="12"/>
  <c r="G19" i="12"/>
  <c r="H19" i="14"/>
  <c r="H39" i="25"/>
  <c r="G18" i="12"/>
  <c r="G20" i="18"/>
  <c r="H37" i="11"/>
  <c r="G15" i="12"/>
  <c r="G14" i="12"/>
  <c r="H14" i="14"/>
  <c r="H20" i="8"/>
  <c r="H10" i="14"/>
  <c r="G16" i="12"/>
  <c r="H12" i="25"/>
  <c r="J105" i="13"/>
  <c r="R105" i="13"/>
  <c r="T4" i="13"/>
  <c r="T105" i="13" s="1"/>
  <c r="E45" i="25"/>
  <c r="E12" i="25"/>
  <c r="AP6" i="13"/>
  <c r="J18" i="25"/>
  <c r="J19" i="25"/>
  <c r="J20" i="25"/>
  <c r="J21" i="25"/>
  <c r="I85" i="7"/>
  <c r="H83" i="7" a="1"/>
  <c r="H83" i="7" s="1"/>
  <c r="K33" i="11" s="1"/>
  <c r="L3" i="14"/>
  <c r="M4" i="14"/>
  <c r="E8" i="2"/>
  <c r="E7" i="2" s="1"/>
  <c r="F7" i="2"/>
  <c r="M8" i="2"/>
  <c r="L7" i="2"/>
  <c r="AF3" i="13"/>
  <c r="AG4" i="13"/>
  <c r="F3" i="14"/>
  <c r="E4" i="14"/>
  <c r="J19" i="11"/>
  <c r="K24" i="2"/>
  <c r="K25" i="2" s="1"/>
  <c r="G3" i="25"/>
  <c r="F4" i="25"/>
  <c r="L4" i="25"/>
  <c r="K3" i="25"/>
  <c r="E9" i="12"/>
  <c r="F8" i="12"/>
  <c r="J8" i="12"/>
  <c r="K9" i="12"/>
  <c r="H43" i="7" a="1"/>
  <c r="H43" i="7" s="1"/>
  <c r="K18" i="11" s="1"/>
  <c r="I45" i="7"/>
  <c r="H53" i="7"/>
  <c r="G51" i="7" a="1"/>
  <c r="G51" i="7" s="1"/>
  <c r="J21" i="11" s="1"/>
  <c r="H37" i="7"/>
  <c r="G35" i="7" a="1"/>
  <c r="G35" i="7" s="1"/>
  <c r="J15" i="11" s="1"/>
  <c r="J21" i="2"/>
  <c r="I16" i="11"/>
  <c r="G58" i="20"/>
  <c r="G34" i="20"/>
  <c r="H35" i="20"/>
  <c r="AF31" i="13"/>
  <c r="AG32" i="13"/>
  <c r="E51" i="25"/>
  <c r="E50" i="25" s="1"/>
  <c r="F50" i="25"/>
  <c r="AB3" i="13"/>
  <c r="AA4" i="13"/>
  <c r="D4" i="11"/>
  <c r="D3" i="11" s="1"/>
  <c r="E3" i="11"/>
  <c r="J36" i="2"/>
  <c r="J37" i="2" s="1"/>
  <c r="I31" i="11"/>
  <c r="I61" i="7"/>
  <c r="H59" i="7" a="1"/>
  <c r="H59" i="7" s="1"/>
  <c r="K24" i="11" s="1"/>
  <c r="I29" i="7"/>
  <c r="H77" i="7"/>
  <c r="G75" i="7" a="1"/>
  <c r="G75" i="7" s="1"/>
  <c r="J30" i="11" s="1"/>
  <c r="AB31" i="13"/>
  <c r="AA32" i="13"/>
  <c r="J25" i="11"/>
  <c r="K30" i="2"/>
  <c r="L4" i="11"/>
  <c r="K3" i="11"/>
  <c r="E16" i="8"/>
  <c r="E15" i="8" s="1"/>
  <c r="F15" i="8"/>
  <c r="H67" i="7" a="1"/>
  <c r="H67" i="7" s="1"/>
  <c r="K27" i="11" s="1"/>
  <c r="I69" i="7"/>
  <c r="M16" i="8"/>
  <c r="L15" i="8"/>
  <c r="AR9" i="13"/>
  <c r="AI12" i="13"/>
  <c r="AC41" i="13"/>
  <c r="AC43" i="13"/>
  <c r="M16" i="18"/>
  <c r="N17" i="18"/>
  <c r="F19" i="12" l="1"/>
  <c r="G39" i="25"/>
  <c r="E44" i="12"/>
  <c r="F22" i="12"/>
  <c r="F14" i="12"/>
  <c r="G37" i="11"/>
  <c r="F24" i="12"/>
  <c r="F18" i="12"/>
  <c r="G14" i="14"/>
  <c r="G20" i="8"/>
  <c r="H21" i="8" s="1"/>
  <c r="F21" i="12"/>
  <c r="G19" i="14"/>
  <c r="F37" i="11"/>
  <c r="E21" i="12"/>
  <c r="F35" i="25"/>
  <c r="F17" i="12"/>
  <c r="I19" i="11"/>
  <c r="F13" i="12"/>
  <c r="G35" i="25"/>
  <c r="G27" i="7" a="1"/>
  <c r="G27" i="7" s="1"/>
  <c r="J12" i="11" s="1"/>
  <c r="K18" i="2" s="1"/>
  <c r="K19" i="2" s="1"/>
  <c r="F43" i="2"/>
  <c r="E43" i="12"/>
  <c r="E20" i="12"/>
  <c r="E22" i="12"/>
  <c r="E17" i="12"/>
  <c r="E16" i="12"/>
  <c r="F20" i="8"/>
  <c r="F21" i="8" s="1"/>
  <c r="E15" i="12"/>
  <c r="E14" i="12"/>
  <c r="E18" i="12"/>
  <c r="F19" i="14"/>
  <c r="F39" i="25"/>
  <c r="F14" i="14"/>
  <c r="F10" i="14"/>
  <c r="E33" i="12"/>
  <c r="E45" i="12"/>
  <c r="E24" i="12"/>
  <c r="F73" i="2"/>
  <c r="F102" i="2" s="1"/>
  <c r="F122" i="2" s="1"/>
  <c r="E23" i="18" s="1"/>
  <c r="E31" i="12"/>
  <c r="E32" i="12"/>
  <c r="E35" i="12"/>
  <c r="E36" i="12"/>
  <c r="E29" i="12"/>
  <c r="H36" i="12"/>
  <c r="H33" i="12"/>
  <c r="F36" i="12"/>
  <c r="F33" i="12"/>
  <c r="G36" i="12"/>
  <c r="G33" i="12"/>
  <c r="J166" i="2"/>
  <c r="K166" i="2" s="1"/>
  <c r="L166" i="2" s="1"/>
  <c r="M166" i="2" s="1"/>
  <c r="N166" i="2" s="1"/>
  <c r="O166" i="2" s="1"/>
  <c r="P166" i="2" s="1"/>
  <c r="Q166" i="2" s="1"/>
  <c r="R166" i="2" s="1"/>
  <c r="S166" i="2" s="1"/>
  <c r="K165" i="2"/>
  <c r="O165" i="2"/>
  <c r="P165" i="2"/>
  <c r="L165" i="2"/>
  <c r="M165" i="2"/>
  <c r="Q165" i="2"/>
  <c r="R165" i="2"/>
  <c r="S165" i="2"/>
  <c r="N165" i="2"/>
  <c r="D38" i="12"/>
  <c r="J131" i="2"/>
  <c r="K131" i="2" s="1"/>
  <c r="L131" i="2" s="1"/>
  <c r="M131" i="2" s="1"/>
  <c r="N131" i="2" s="1"/>
  <c r="O131" i="2" s="1"/>
  <c r="P131" i="2" s="1"/>
  <c r="Q131" i="2" s="1"/>
  <c r="R131" i="2" s="1"/>
  <c r="S131" i="2" s="1"/>
  <c r="F142" i="2"/>
  <c r="F160" i="2" s="1"/>
  <c r="F171" i="2" s="1"/>
  <c r="J137" i="2"/>
  <c r="G35" i="12"/>
  <c r="G32" i="12"/>
  <c r="F35" i="12"/>
  <c r="F32" i="12"/>
  <c r="H35" i="12"/>
  <c r="H32" i="12"/>
  <c r="J155" i="2"/>
  <c r="K155" i="2" s="1"/>
  <c r="L155" i="2" s="1"/>
  <c r="M155" i="2" s="1"/>
  <c r="N155" i="2" s="1"/>
  <c r="O155" i="2" s="1"/>
  <c r="P155" i="2" s="1"/>
  <c r="Q155" i="2" s="1"/>
  <c r="R155" i="2" s="1"/>
  <c r="S155" i="2" s="1"/>
  <c r="J149" i="2"/>
  <c r="K149" i="2" s="1"/>
  <c r="L149" i="2" s="1"/>
  <c r="M149" i="2" s="1"/>
  <c r="N149" i="2" s="1"/>
  <c r="O149" i="2" s="1"/>
  <c r="P149" i="2" s="1"/>
  <c r="Q149" i="2" s="1"/>
  <c r="R149" i="2" s="1"/>
  <c r="S149" i="2" s="1"/>
  <c r="J150" i="2"/>
  <c r="K150" i="2" s="1"/>
  <c r="L150" i="2" s="1"/>
  <c r="M150" i="2" s="1"/>
  <c r="N150" i="2" s="1"/>
  <c r="O150" i="2" s="1"/>
  <c r="P150" i="2" s="1"/>
  <c r="Q150" i="2" s="1"/>
  <c r="R150" i="2" s="1"/>
  <c r="S150" i="2" s="1"/>
  <c r="J79" i="2"/>
  <c r="K79" i="2" s="1"/>
  <c r="L79" i="2" s="1"/>
  <c r="M79" i="2" s="1"/>
  <c r="N79" i="2" s="1"/>
  <c r="O79" i="2" s="1"/>
  <c r="P79" i="2" s="1"/>
  <c r="Q79" i="2" s="1"/>
  <c r="R79" i="2" s="1"/>
  <c r="S79" i="2" s="1"/>
  <c r="J128" i="2"/>
  <c r="J129" i="2"/>
  <c r="K129" i="2" s="1"/>
  <c r="L129" i="2" s="1"/>
  <c r="M129" i="2" s="1"/>
  <c r="N129" i="2" s="1"/>
  <c r="O129" i="2" s="1"/>
  <c r="P129" i="2" s="1"/>
  <c r="Q129" i="2" s="1"/>
  <c r="R129" i="2" s="1"/>
  <c r="S129" i="2" s="1"/>
  <c r="J130" i="2"/>
  <c r="K130" i="2" s="1"/>
  <c r="L130" i="2" s="1"/>
  <c r="M130" i="2" s="1"/>
  <c r="N130" i="2" s="1"/>
  <c r="O130" i="2" s="1"/>
  <c r="P130" i="2" s="1"/>
  <c r="Q130" i="2" s="1"/>
  <c r="R130" i="2" s="1"/>
  <c r="S130" i="2" s="1"/>
  <c r="J116" i="2"/>
  <c r="K116" i="2" s="1"/>
  <c r="L116" i="2" s="1"/>
  <c r="M116" i="2" s="1"/>
  <c r="N116" i="2" s="1"/>
  <c r="O116" i="2" s="1"/>
  <c r="P116" i="2" s="1"/>
  <c r="Q116" i="2" s="1"/>
  <c r="R116" i="2" s="1"/>
  <c r="S116" i="2" s="1"/>
  <c r="J117" i="2"/>
  <c r="K117" i="2" s="1"/>
  <c r="L117" i="2" s="1"/>
  <c r="M117" i="2" s="1"/>
  <c r="N117" i="2" s="1"/>
  <c r="O117" i="2" s="1"/>
  <c r="P117" i="2" s="1"/>
  <c r="Q117" i="2" s="1"/>
  <c r="R117" i="2" s="1"/>
  <c r="S117" i="2" s="1"/>
  <c r="H44" i="12"/>
  <c r="H31" i="12"/>
  <c r="H30" i="12"/>
  <c r="G31" i="12"/>
  <c r="G30" i="12"/>
  <c r="F31" i="12"/>
  <c r="F30" i="12"/>
  <c r="J165" i="2"/>
  <c r="J164" i="2"/>
  <c r="K164" i="2" s="1"/>
  <c r="L164" i="2" s="1"/>
  <c r="M164" i="2" s="1"/>
  <c r="N164" i="2" s="1"/>
  <c r="O164" i="2" s="1"/>
  <c r="P164" i="2" s="1"/>
  <c r="Q164" i="2" s="1"/>
  <c r="R164" i="2" s="1"/>
  <c r="S164" i="2" s="1"/>
  <c r="E102" i="2"/>
  <c r="E26" i="8" s="1"/>
  <c r="H45" i="12"/>
  <c r="H43" i="12"/>
  <c r="H29" i="12"/>
  <c r="I73" i="2"/>
  <c r="I102" i="2" s="1"/>
  <c r="I26" i="8" s="1"/>
  <c r="G29" i="12"/>
  <c r="H73" i="2"/>
  <c r="H102" i="2" s="1"/>
  <c r="H26" i="8" s="1"/>
  <c r="F45" i="12"/>
  <c r="G73" i="2"/>
  <c r="J34" i="11"/>
  <c r="H21" i="18"/>
  <c r="K33" i="2"/>
  <c r="K34" i="2" s="1"/>
  <c r="J13" i="11"/>
  <c r="K31" i="2"/>
  <c r="G43" i="12"/>
  <c r="I21" i="8"/>
  <c r="D47" i="12"/>
  <c r="F21" i="18"/>
  <c r="G45" i="12"/>
  <c r="I43" i="2"/>
  <c r="G44" i="12"/>
  <c r="G43" i="2"/>
  <c r="F44" i="12"/>
  <c r="I22" i="11"/>
  <c r="F43" i="12"/>
  <c r="F29" i="12"/>
  <c r="H43" i="2"/>
  <c r="E13" i="25"/>
  <c r="F13" i="25"/>
  <c r="I13" i="25"/>
  <c r="G21" i="18"/>
  <c r="H13" i="25"/>
  <c r="G13" i="25"/>
  <c r="AP7" i="13"/>
  <c r="K20" i="25"/>
  <c r="K19" i="25"/>
  <c r="K18" i="25"/>
  <c r="K21" i="25"/>
  <c r="J22" i="11"/>
  <c r="K27" i="2"/>
  <c r="K28" i="2" s="1"/>
  <c r="D9" i="12"/>
  <c r="D8" i="12" s="1"/>
  <c r="E8" i="12"/>
  <c r="J22" i="2"/>
  <c r="H51" i="7" a="1"/>
  <c r="H51" i="7" s="1"/>
  <c r="K21" i="11" s="1"/>
  <c r="I53" i="7"/>
  <c r="D4" i="14"/>
  <c r="D3" i="14" s="1"/>
  <c r="E3" i="14"/>
  <c r="AH32" i="13"/>
  <c r="AG31" i="13"/>
  <c r="M7" i="2"/>
  <c r="N8" i="2"/>
  <c r="K34" i="11"/>
  <c r="L39" i="2"/>
  <c r="L40" i="2" s="1"/>
  <c r="K25" i="11"/>
  <c r="L30" i="2"/>
  <c r="L31" i="2" s="1"/>
  <c r="I43" i="7" a="1"/>
  <c r="I43" i="7" s="1"/>
  <c r="L18" i="11" s="1"/>
  <c r="J45" i="7"/>
  <c r="AH4" i="13"/>
  <c r="AG3" i="13"/>
  <c r="I83" i="7" a="1"/>
  <c r="I83" i="7" s="1"/>
  <c r="L33" i="11" s="1"/>
  <c r="J85" i="7"/>
  <c r="Z32" i="13"/>
  <c r="AA31" i="13"/>
  <c r="L3" i="11"/>
  <c r="M4" i="11"/>
  <c r="J61" i="7"/>
  <c r="I59" i="7" a="1"/>
  <c r="I59" i="7" s="1"/>
  <c r="L24" i="11" s="1"/>
  <c r="K19" i="11"/>
  <c r="L24" i="2"/>
  <c r="L25" i="2" s="1"/>
  <c r="J31" i="11"/>
  <c r="K36" i="2"/>
  <c r="K37" i="2" s="1"/>
  <c r="J28" i="2"/>
  <c r="L9" i="12"/>
  <c r="K8" i="12"/>
  <c r="M4" i="25"/>
  <c r="L3" i="25"/>
  <c r="H75" i="7" a="1"/>
  <c r="H75" i="7" s="1"/>
  <c r="K30" i="11" s="1"/>
  <c r="I77" i="7"/>
  <c r="I35" i="20"/>
  <c r="H58" i="20"/>
  <c r="H34" i="20"/>
  <c r="I27" i="7" a="1"/>
  <c r="I27" i="7" s="1"/>
  <c r="L12" i="11" s="1"/>
  <c r="J29" i="7"/>
  <c r="F3" i="25"/>
  <c r="E4" i="25"/>
  <c r="E3" i="25" s="1"/>
  <c r="Z4" i="13"/>
  <c r="AA3" i="13"/>
  <c r="AN66" i="21"/>
  <c r="AH97" i="21"/>
  <c r="K13" i="11"/>
  <c r="L18" i="2"/>
  <c r="L19" i="2" s="1"/>
  <c r="J16" i="11"/>
  <c r="K21" i="2"/>
  <c r="K22" i="2" s="1"/>
  <c r="N16" i="8"/>
  <c r="M15" i="8"/>
  <c r="I37" i="7"/>
  <c r="H35" i="7" a="1"/>
  <c r="H35" i="7" s="1"/>
  <c r="K15" i="11" s="1"/>
  <c r="I67" i="7" a="1"/>
  <c r="I67" i="7" s="1"/>
  <c r="L27" i="11" s="1"/>
  <c r="J69" i="7"/>
  <c r="N4" i="14"/>
  <c r="M3" i="14"/>
  <c r="L33" i="2"/>
  <c r="K28" i="11"/>
  <c r="AD41" i="13"/>
  <c r="L8" i="4" s="1"/>
  <c r="AD43" i="13"/>
  <c r="AE43" i="13" s="1"/>
  <c r="AF43" i="13" s="1"/>
  <c r="AG43" i="13" s="1"/>
  <c r="AH43" i="13" s="1"/>
  <c r="AI43" i="13" s="1"/>
  <c r="AJ43" i="13" s="1"/>
  <c r="AK43" i="13" s="1"/>
  <c r="AL43" i="13" s="1"/>
  <c r="AM43" i="13" s="1"/>
  <c r="AN43" i="13" s="1"/>
  <c r="AQ8" i="13"/>
  <c r="AR10" i="13"/>
  <c r="AJ12" i="13"/>
  <c r="O17" i="18"/>
  <c r="N16" i="18"/>
  <c r="E47" i="12" l="1"/>
  <c r="G21" i="8"/>
  <c r="E38" i="12"/>
  <c r="F26" i="8"/>
  <c r="F74" i="2"/>
  <c r="E24" i="18"/>
  <c r="E26" i="18"/>
  <c r="E28" i="18" s="1"/>
  <c r="E32" i="18" s="1"/>
  <c r="J32" i="12"/>
  <c r="M33" i="12"/>
  <c r="K32" i="12"/>
  <c r="N33" i="12"/>
  <c r="L32" i="12"/>
  <c r="O33" i="12"/>
  <c r="J33" i="12"/>
  <c r="L33" i="12"/>
  <c r="M32" i="12"/>
  <c r="P33" i="12"/>
  <c r="N32" i="12"/>
  <c r="Q33" i="12"/>
  <c r="R33" i="12"/>
  <c r="R32" i="12"/>
  <c r="K33" i="12"/>
  <c r="Q32" i="12"/>
  <c r="O32" i="12"/>
  <c r="P32" i="12"/>
  <c r="I33" i="12"/>
  <c r="J167" i="2"/>
  <c r="J168" i="2" s="1"/>
  <c r="L167" i="2"/>
  <c r="O167" i="2"/>
  <c r="P167" i="2"/>
  <c r="S167" i="2"/>
  <c r="K167" i="2"/>
  <c r="N167" i="2"/>
  <c r="R167" i="2"/>
  <c r="M167" i="2"/>
  <c r="Q167" i="2"/>
  <c r="F23" i="8"/>
  <c r="F24" i="8" s="1"/>
  <c r="G38" i="12"/>
  <c r="H38" i="12"/>
  <c r="F38" i="12"/>
  <c r="I36" i="12"/>
  <c r="J36" i="12" s="1"/>
  <c r="K36" i="12" s="1"/>
  <c r="L36" i="12" s="1"/>
  <c r="M36" i="12" s="1"/>
  <c r="N36" i="12" s="1"/>
  <c r="O36" i="12" s="1"/>
  <c r="P36" i="12" s="1"/>
  <c r="Q36" i="12" s="1"/>
  <c r="R36" i="12" s="1"/>
  <c r="I35" i="12"/>
  <c r="J35" i="12" s="1"/>
  <c r="K35" i="12" s="1"/>
  <c r="L35" i="12" s="1"/>
  <c r="M35" i="12" s="1"/>
  <c r="N35" i="12" s="1"/>
  <c r="O35" i="12" s="1"/>
  <c r="P35" i="12" s="1"/>
  <c r="Q35" i="12" s="1"/>
  <c r="R35" i="12" s="1"/>
  <c r="I29" i="12"/>
  <c r="J29" i="12" s="1"/>
  <c r="K29" i="12" s="1"/>
  <c r="L29" i="12" s="1"/>
  <c r="M29" i="12" s="1"/>
  <c r="N29" i="12" s="1"/>
  <c r="O29" i="12" s="1"/>
  <c r="P29" i="12" s="1"/>
  <c r="Q29" i="12" s="1"/>
  <c r="R29" i="12" s="1"/>
  <c r="I32" i="12"/>
  <c r="I30" i="12"/>
  <c r="J30" i="12" s="1"/>
  <c r="K30" i="12" s="1"/>
  <c r="L30" i="12" s="1"/>
  <c r="M30" i="12" s="1"/>
  <c r="N30" i="12" s="1"/>
  <c r="O30" i="12" s="1"/>
  <c r="P30" i="12" s="1"/>
  <c r="Q30" i="12" s="1"/>
  <c r="R30" i="12" s="1"/>
  <c r="I31" i="12"/>
  <c r="J31" i="12" s="1"/>
  <c r="K31" i="12" s="1"/>
  <c r="L31" i="12" s="1"/>
  <c r="M31" i="12" s="1"/>
  <c r="N31" i="12" s="1"/>
  <c r="O31" i="12" s="1"/>
  <c r="P31" i="12" s="1"/>
  <c r="Q31" i="12" s="1"/>
  <c r="R31" i="12" s="1"/>
  <c r="J132" i="2"/>
  <c r="J133" i="2" s="1"/>
  <c r="K128" i="2"/>
  <c r="K132" i="2" s="1"/>
  <c r="K137" i="2"/>
  <c r="J156" i="2"/>
  <c r="J157" i="2" s="1"/>
  <c r="I142" i="2"/>
  <c r="I160" i="2" s="1"/>
  <c r="I171" i="2" s="1"/>
  <c r="I122" i="2"/>
  <c r="I23" i="8" s="1"/>
  <c r="E142" i="2"/>
  <c r="E160" i="2" s="1"/>
  <c r="E171" i="2" s="1"/>
  <c r="F172" i="2" s="1"/>
  <c r="E122" i="2"/>
  <c r="F123" i="2" s="1"/>
  <c r="H142" i="2"/>
  <c r="H160" i="2" s="1"/>
  <c r="H171" i="2" s="1"/>
  <c r="H122" i="2"/>
  <c r="F47" i="12"/>
  <c r="I74" i="2"/>
  <c r="H47" i="12"/>
  <c r="G74" i="2"/>
  <c r="G102" i="2"/>
  <c r="G26" i="8" s="1"/>
  <c r="H74" i="2"/>
  <c r="G47" i="12"/>
  <c r="F103" i="2"/>
  <c r="F28" i="8"/>
  <c r="F32" i="8" s="1"/>
  <c r="L21" i="25"/>
  <c r="L20" i="25"/>
  <c r="L19" i="25"/>
  <c r="L18" i="25"/>
  <c r="K61" i="7"/>
  <c r="J59" i="7" a="1"/>
  <c r="J59" i="7" s="1"/>
  <c r="M24" i="11" s="1"/>
  <c r="M3" i="11"/>
  <c r="N4" i="11"/>
  <c r="J17" i="14"/>
  <c r="K17" i="14" s="1"/>
  <c r="L17" i="14" s="1"/>
  <c r="M17" i="14" s="1"/>
  <c r="N17" i="14" s="1"/>
  <c r="O17" i="14" s="1"/>
  <c r="P17" i="14" s="1"/>
  <c r="Q17" i="14" s="1"/>
  <c r="R17" i="14" s="1"/>
  <c r="S17" i="14" s="1"/>
  <c r="J12" i="14"/>
  <c r="K12" i="14" s="1"/>
  <c r="L12" i="14" s="1"/>
  <c r="M12" i="14" s="1"/>
  <c r="N12" i="14" s="1"/>
  <c r="O12" i="14" s="1"/>
  <c r="P12" i="14" s="1"/>
  <c r="Q12" i="14" s="1"/>
  <c r="R12" i="14" s="1"/>
  <c r="S12" i="14" s="1"/>
  <c r="J10" i="14"/>
  <c r="J19" i="14"/>
  <c r="J14" i="14"/>
  <c r="Z31" i="13"/>
  <c r="Y32" i="13"/>
  <c r="Y31" i="13" s="1"/>
  <c r="J83" i="7" a="1"/>
  <c r="J83" i="7" s="1"/>
  <c r="M33" i="11" s="1"/>
  <c r="K85" i="7"/>
  <c r="N7" i="2"/>
  <c r="O8" i="2"/>
  <c r="J53" i="7"/>
  <c r="I51" i="7" a="1"/>
  <c r="I51" i="7" s="1"/>
  <c r="L21" i="11" s="1"/>
  <c r="L34" i="11"/>
  <c r="M39" i="2"/>
  <c r="M40" i="2" s="1"/>
  <c r="K22" i="11"/>
  <c r="L27" i="2"/>
  <c r="J37" i="7"/>
  <c r="I35" i="7" a="1"/>
  <c r="I35" i="7" s="1"/>
  <c r="L15" i="11" s="1"/>
  <c r="L34" i="2"/>
  <c r="O4" i="14"/>
  <c r="N3" i="14"/>
  <c r="K31" i="11"/>
  <c r="L36" i="2"/>
  <c r="L37" i="2" s="1"/>
  <c r="J67" i="7" a="1"/>
  <c r="J67" i="7" s="1"/>
  <c r="M27" i="11" s="1"/>
  <c r="K69" i="7"/>
  <c r="L13" i="11"/>
  <c r="M18" i="2"/>
  <c r="M19" i="2" s="1"/>
  <c r="L28" i="11"/>
  <c r="M33" i="2"/>
  <c r="M34" i="2" s="1"/>
  <c r="M3" i="25"/>
  <c r="N4" i="25"/>
  <c r="AP8" i="13"/>
  <c r="AP9" i="13"/>
  <c r="K16" i="11"/>
  <c r="L21" i="2"/>
  <c r="L22" i="2" s="1"/>
  <c r="L8" i="12"/>
  <c r="M9" i="12"/>
  <c r="J37" i="25"/>
  <c r="K37" i="25" s="1"/>
  <c r="J41" i="25"/>
  <c r="K41" i="25" s="1"/>
  <c r="L41" i="25" s="1"/>
  <c r="M41" i="25" s="1"/>
  <c r="N41" i="25" s="1"/>
  <c r="O41" i="25" s="1"/>
  <c r="P41" i="25" s="1"/>
  <c r="Q41" i="25" s="1"/>
  <c r="R41" i="25" s="1"/>
  <c r="S41" i="25" s="1"/>
  <c r="J15" i="25" a="1"/>
  <c r="J15" i="25" s="1"/>
  <c r="K15" i="25" s="1" a="1"/>
  <c r="K15" i="25" s="1"/>
  <c r="L15" i="25" s="1" a="1"/>
  <c r="L15" i="25" s="1"/>
  <c r="M15" i="25" s="1" a="1"/>
  <c r="M15" i="25" s="1"/>
  <c r="N15" i="25" s="1" a="1"/>
  <c r="N15" i="25" s="1"/>
  <c r="O15" i="25" s="1" a="1"/>
  <c r="O15" i="25" s="1"/>
  <c r="P15" i="25" s="1" a="1"/>
  <c r="P15" i="25" s="1"/>
  <c r="Q15" i="25" s="1" a="1"/>
  <c r="Q15" i="25" s="1"/>
  <c r="R15" i="25" s="1" a="1"/>
  <c r="R15" i="25" s="1"/>
  <c r="S15" i="25" s="1" a="1"/>
  <c r="S15" i="25" s="1"/>
  <c r="J12" i="25" a="1"/>
  <c r="J12" i="25" s="1"/>
  <c r="K12" i="25" s="1" a="1"/>
  <c r="K12" i="25" s="1"/>
  <c r="L12" i="25" s="1" a="1"/>
  <c r="L12" i="25" s="1"/>
  <c r="M12" i="25" s="1" a="1"/>
  <c r="M12" i="25" s="1"/>
  <c r="N12" i="25" s="1" a="1"/>
  <c r="N12" i="25" s="1"/>
  <c r="O12" i="25" s="1" a="1"/>
  <c r="O12" i="25" s="1"/>
  <c r="P12" i="25" s="1" a="1"/>
  <c r="P12" i="25" s="1"/>
  <c r="Q12" i="25" s="1" a="1"/>
  <c r="Q12" i="25" s="1"/>
  <c r="R12" i="25" s="1" a="1"/>
  <c r="R12" i="25" s="1"/>
  <c r="S12" i="25" s="1" a="1"/>
  <c r="S12" i="25" s="1"/>
  <c r="N15" i="8"/>
  <c r="O16" i="8"/>
  <c r="I34" i="20"/>
  <c r="J35" i="20"/>
  <c r="I58" i="20"/>
  <c r="I75" i="7" a="1"/>
  <c r="I75" i="7" s="1"/>
  <c r="L30" i="11" s="1"/>
  <c r="J77" i="7"/>
  <c r="K29" i="7"/>
  <c r="J27" i="7" a="1"/>
  <c r="J27" i="7" s="1"/>
  <c r="M12" i="11" s="1"/>
  <c r="Y4" i="13"/>
  <c r="Y3" i="13" s="1"/>
  <c r="Z3" i="13"/>
  <c r="Z47" i="21"/>
  <c r="T44" i="21"/>
  <c r="J20" i="21"/>
  <c r="J22" i="21" s="1"/>
  <c r="G15" i="20"/>
  <c r="P35" i="21"/>
  <c r="G5" i="4"/>
  <c r="G6" i="4" s="1"/>
  <c r="AI4" i="13"/>
  <c r="AH3" i="13"/>
  <c r="J43" i="7" a="1"/>
  <c r="J43" i="7" s="1"/>
  <c r="M18" i="11" s="1"/>
  <c r="K45" i="7"/>
  <c r="L25" i="11"/>
  <c r="M30" i="2"/>
  <c r="M31" i="2" s="1"/>
  <c r="L19" i="11"/>
  <c r="M24" i="2"/>
  <c r="M25" i="2" s="1"/>
  <c r="AI32" i="13"/>
  <c r="AH31" i="13"/>
  <c r="AK12" i="13"/>
  <c r="AR11" i="13"/>
  <c r="AQ9" i="13"/>
  <c r="AE35" i="13"/>
  <c r="J136" i="2" s="1"/>
  <c r="AE41" i="13"/>
  <c r="P17" i="18"/>
  <c r="O16" i="18"/>
  <c r="L128" i="2" l="1"/>
  <c r="L132" i="2" s="1"/>
  <c r="J138" i="2"/>
  <c r="J139" i="2" s="1"/>
  <c r="L137" i="2"/>
  <c r="L168" i="2"/>
  <c r="M168" i="2"/>
  <c r="F143" i="2"/>
  <c r="F161" i="2"/>
  <c r="S168" i="2"/>
  <c r="O168" i="2"/>
  <c r="D23" i="18"/>
  <c r="N168" i="2"/>
  <c r="P168" i="2"/>
  <c r="K168" i="2"/>
  <c r="R168" i="2"/>
  <c r="Q168" i="2"/>
  <c r="I172" i="2"/>
  <c r="K156" i="2"/>
  <c r="K157" i="2" s="1"/>
  <c r="I123" i="2"/>
  <c r="H23" i="18"/>
  <c r="K133" i="2"/>
  <c r="H23" i="8"/>
  <c r="H28" i="8" s="1"/>
  <c r="H32" i="8" s="1"/>
  <c r="G23" i="18"/>
  <c r="I28" i="8"/>
  <c r="I9" i="8"/>
  <c r="G142" i="2"/>
  <c r="H143" i="2" s="1"/>
  <c r="G122" i="2"/>
  <c r="E23" i="8"/>
  <c r="I24" i="8"/>
  <c r="D37" i="20"/>
  <c r="J23" i="21" s="1"/>
  <c r="N16" i="20"/>
  <c r="G24" i="20" s="1"/>
  <c r="I143" i="2"/>
  <c r="G103" i="2"/>
  <c r="N27" i="20"/>
  <c r="D46" i="20" s="1"/>
  <c r="E41" i="20" s="1"/>
  <c r="I103" i="2"/>
  <c r="H103" i="2"/>
  <c r="K14" i="14"/>
  <c r="L14" i="14" s="1"/>
  <c r="M14" i="14" s="1"/>
  <c r="N14" i="14" s="1"/>
  <c r="O14" i="14" s="1"/>
  <c r="P14" i="14" s="1"/>
  <c r="Q14" i="14" s="1"/>
  <c r="R14" i="14" s="1"/>
  <c r="S14" i="14" s="1"/>
  <c r="K10" i="14"/>
  <c r="L10" i="14" s="1"/>
  <c r="M10" i="14" s="1"/>
  <c r="N10" i="14" s="1"/>
  <c r="O10" i="14" s="1"/>
  <c r="P10" i="14" s="1"/>
  <c r="Q10" i="14" s="1"/>
  <c r="R10" i="14" s="1"/>
  <c r="S10" i="14" s="1"/>
  <c r="M21" i="25"/>
  <c r="M20" i="25"/>
  <c r="M19" i="25"/>
  <c r="M18" i="25"/>
  <c r="K19" i="14"/>
  <c r="K38" i="25"/>
  <c r="K109" i="2" s="1"/>
  <c r="L37" i="25"/>
  <c r="L38" i="25" s="1"/>
  <c r="L109" i="2" s="1"/>
  <c r="L45" i="7"/>
  <c r="K43" i="7" a="1"/>
  <c r="K43" i="7" s="1"/>
  <c r="N18" i="11" s="1"/>
  <c r="K67" i="7" a="1"/>
  <c r="K67" i="7" s="1"/>
  <c r="N27" i="11" s="1"/>
  <c r="L69" i="7"/>
  <c r="M19" i="11"/>
  <c r="N24" i="2"/>
  <c r="N25" i="2" s="1"/>
  <c r="P4" i="14"/>
  <c r="O3" i="14"/>
  <c r="M13" i="11"/>
  <c r="N18" i="2"/>
  <c r="N19" i="2" s="1"/>
  <c r="O4" i="25"/>
  <c r="N3" i="25"/>
  <c r="L22" i="11"/>
  <c r="M27" i="2"/>
  <c r="M28" i="2" s="1"/>
  <c r="AI3" i="13"/>
  <c r="AJ4" i="13"/>
  <c r="AJ32" i="13"/>
  <c r="AI31" i="13"/>
  <c r="K27" i="7" a="1"/>
  <c r="K27" i="7" s="1"/>
  <c r="N12" i="11" s="1"/>
  <c r="N13" i="11" s="1"/>
  <c r="L29" i="7"/>
  <c r="J38" i="25"/>
  <c r="J51" i="7" a="1"/>
  <c r="J51" i="7" s="1"/>
  <c r="M21" i="11" s="1"/>
  <c r="K53" i="7"/>
  <c r="N3" i="11"/>
  <c r="O4" i="11"/>
  <c r="O7" i="2"/>
  <c r="P8" i="2"/>
  <c r="M22" i="25"/>
  <c r="L22" i="25"/>
  <c r="J22" i="25"/>
  <c r="K22" i="25"/>
  <c r="P38" i="21"/>
  <c r="K77" i="7"/>
  <c r="J75" i="7" a="1"/>
  <c r="J75" i="7" s="1"/>
  <c r="M30" i="11" s="1"/>
  <c r="K83" i="7" a="1"/>
  <c r="K83" i="7" s="1"/>
  <c r="N33" i="11" s="1"/>
  <c r="L85" i="7"/>
  <c r="M25" i="11"/>
  <c r="N30" i="2"/>
  <c r="N31" i="2" s="1"/>
  <c r="L31" i="11"/>
  <c r="M36" i="2"/>
  <c r="M37" i="2" s="1"/>
  <c r="N9" i="12"/>
  <c r="M8" i="12"/>
  <c r="M34" i="11"/>
  <c r="N39" i="2"/>
  <c r="L61" i="7"/>
  <c r="K59" i="7" a="1"/>
  <c r="K59" i="7" s="1"/>
  <c r="N24" i="11" s="1"/>
  <c r="L28" i="2"/>
  <c r="N24" i="20"/>
  <c r="G16" i="20"/>
  <c r="T45" i="21"/>
  <c r="T46" i="21" s="1"/>
  <c r="Z50" i="21" s="1"/>
  <c r="K35" i="20"/>
  <c r="J34" i="20"/>
  <c r="J58" i="20"/>
  <c r="C45" i="18"/>
  <c r="D59" i="8"/>
  <c r="C59" i="18"/>
  <c r="D45" i="8"/>
  <c r="G8" i="4"/>
  <c r="D4" i="4" s="1"/>
  <c r="L16" i="11"/>
  <c r="M21" i="2"/>
  <c r="M22" i="2" s="1"/>
  <c r="O15" i="8"/>
  <c r="P16" i="8"/>
  <c r="M28" i="11"/>
  <c r="N33" i="2"/>
  <c r="J35" i="7" a="1"/>
  <c r="J35" i="7" s="1"/>
  <c r="M15" i="11" s="1"/>
  <c r="K37" i="7"/>
  <c r="AQ10" i="13"/>
  <c r="AF35" i="13"/>
  <c r="K136" i="2" s="1"/>
  <c r="AF41" i="13"/>
  <c r="AR12" i="13"/>
  <c r="AL12" i="13"/>
  <c r="P16" i="18"/>
  <c r="Q17" i="18"/>
  <c r="G24" i="18" l="1"/>
  <c r="G26" i="18"/>
  <c r="G28" i="18" s="1"/>
  <c r="G32" i="18" s="1"/>
  <c r="D26" i="18"/>
  <c r="D28" i="18" s="1"/>
  <c r="D32" i="18" s="1"/>
  <c r="H9" i="18"/>
  <c r="H26" i="18"/>
  <c r="H28" i="18" s="1"/>
  <c r="H32" i="18" s="1"/>
  <c r="M128" i="2"/>
  <c r="M132" i="2" s="1"/>
  <c r="L133" i="2"/>
  <c r="K138" i="2"/>
  <c r="K139" i="2" s="1"/>
  <c r="M137" i="2"/>
  <c r="D24" i="18"/>
  <c r="H24" i="18"/>
  <c r="H24" i="8"/>
  <c r="G160" i="2"/>
  <c r="G171" i="2" s="1"/>
  <c r="L156" i="2"/>
  <c r="L157" i="2" s="1"/>
  <c r="G143" i="2"/>
  <c r="E28" i="8"/>
  <c r="E32" i="8" s="1"/>
  <c r="E24" i="8"/>
  <c r="D45" i="20"/>
  <c r="D50" i="20"/>
  <c r="I32" i="8"/>
  <c r="D39" i="20" s="1"/>
  <c r="G23" i="8"/>
  <c r="G123" i="2"/>
  <c r="H123" i="2"/>
  <c r="F23" i="18"/>
  <c r="F26" i="18" s="1"/>
  <c r="AP10" i="13"/>
  <c r="N22" i="25"/>
  <c r="N21" i="25"/>
  <c r="N20" i="25"/>
  <c r="N19" i="25"/>
  <c r="N18" i="25"/>
  <c r="L19" i="14"/>
  <c r="K43" i="25"/>
  <c r="L43" i="25"/>
  <c r="M37" i="25"/>
  <c r="M38" i="25" s="1"/>
  <c r="H12" i="18"/>
  <c r="I12" i="8"/>
  <c r="H11" i="18"/>
  <c r="Q33" i="18" s="1"/>
  <c r="I11" i="8"/>
  <c r="AK4" i="13"/>
  <c r="AJ3" i="13"/>
  <c r="N25" i="20"/>
  <c r="N28" i="20" s="1"/>
  <c r="G26" i="20" s="1"/>
  <c r="G18" i="20"/>
  <c r="K51" i="7" a="1"/>
  <c r="K51" i="7" s="1"/>
  <c r="N21" i="11" s="1"/>
  <c r="L53" i="7"/>
  <c r="O30" i="2"/>
  <c r="O31" i="2" s="1"/>
  <c r="L37" i="7"/>
  <c r="K35" i="7" a="1"/>
  <c r="K35" i="7" s="1"/>
  <c r="N15" i="11" s="1"/>
  <c r="N16" i="11" s="1"/>
  <c r="M85" i="7"/>
  <c r="L83" i="7" a="1"/>
  <c r="L83" i="7" s="1"/>
  <c r="O33" i="11" s="1"/>
  <c r="M22" i="11"/>
  <c r="N27" i="2"/>
  <c r="N28" i="2" s="1"/>
  <c r="N21" i="2"/>
  <c r="N22" i="2" s="1"/>
  <c r="M16" i="11"/>
  <c r="I161" i="2"/>
  <c r="O39" i="2"/>
  <c r="O40" i="2" s="1"/>
  <c r="N34" i="11"/>
  <c r="N34" i="2"/>
  <c r="N40" i="2"/>
  <c r="O9" i="12"/>
  <c r="N8" i="12"/>
  <c r="Q16" i="8"/>
  <c r="P15" i="8"/>
  <c r="J109" i="2"/>
  <c r="J43" i="25"/>
  <c r="Q4" i="14"/>
  <c r="P3" i="14"/>
  <c r="O3" i="11"/>
  <c r="P4" i="11"/>
  <c r="L67" i="7" a="1"/>
  <c r="L67" i="7" s="1"/>
  <c r="O27" i="11" s="1"/>
  <c r="M69" i="7"/>
  <c r="N36" i="2"/>
  <c r="N37" i="2" s="1"/>
  <c r="M31" i="11"/>
  <c r="M29" i="7"/>
  <c r="L27" i="7" a="1"/>
  <c r="L27" i="7" s="1"/>
  <c r="O12" i="11" s="1"/>
  <c r="O33" i="2"/>
  <c r="O34" i="2" s="1"/>
  <c r="N28" i="11"/>
  <c r="O18" i="2"/>
  <c r="K34" i="20"/>
  <c r="L35" i="20"/>
  <c r="K58" i="20"/>
  <c r="K75" i="7" a="1"/>
  <c r="K75" i="7" s="1"/>
  <c r="N30" i="11" s="1"/>
  <c r="N31" i="11" s="1"/>
  <c r="L77" i="7"/>
  <c r="Q8" i="2"/>
  <c r="P7" i="2"/>
  <c r="N25" i="11"/>
  <c r="O24" i="2"/>
  <c r="O25" i="2" s="1"/>
  <c r="N19" i="11"/>
  <c r="AJ31" i="13"/>
  <c r="AK32" i="13"/>
  <c r="P4" i="25"/>
  <c r="O3" i="25"/>
  <c r="L43" i="7" a="1"/>
  <c r="L43" i="7" s="1"/>
  <c r="O18" i="11" s="1"/>
  <c r="M45" i="7"/>
  <c r="M61" i="7"/>
  <c r="L59" i="7" a="1"/>
  <c r="L59" i="7" s="1"/>
  <c r="O24" i="11" s="1"/>
  <c r="AR13" i="13"/>
  <c r="AM12" i="13"/>
  <c r="AG41" i="13"/>
  <c r="AG35" i="13"/>
  <c r="L136" i="2" s="1"/>
  <c r="AQ11" i="13"/>
  <c r="R17" i="18"/>
  <c r="Q16" i="18"/>
  <c r="N128" i="2" l="1"/>
  <c r="N132" i="2" s="1"/>
  <c r="M133" i="2"/>
  <c r="L138" i="2"/>
  <c r="L139" i="2" s="1"/>
  <c r="N137" i="2"/>
  <c r="G172" i="2"/>
  <c r="H172" i="2"/>
  <c r="G161" i="2"/>
  <c r="H161" i="2"/>
  <c r="M156" i="2"/>
  <c r="M157" i="2" s="1"/>
  <c r="F28" i="18"/>
  <c r="F32" i="18" s="1"/>
  <c r="F24" i="18"/>
  <c r="G28" i="8"/>
  <c r="G32" i="8" s="1"/>
  <c r="G24" i="8"/>
  <c r="AP11" i="13"/>
  <c r="O18" i="25"/>
  <c r="O21" i="25"/>
  <c r="O20" i="25"/>
  <c r="O19" i="25"/>
  <c r="N37" i="25"/>
  <c r="N38" i="25" s="1"/>
  <c r="M19" i="14"/>
  <c r="N19" i="14" s="1"/>
  <c r="O19" i="14" s="1"/>
  <c r="P19" i="14" s="1"/>
  <c r="Q19" i="14" s="1"/>
  <c r="R19" i="14" s="1"/>
  <c r="S19" i="14" s="1"/>
  <c r="D47" i="20"/>
  <c r="D56" i="20"/>
  <c r="G28" i="20"/>
  <c r="Q15" i="8"/>
  <c r="R16" i="8"/>
  <c r="N29" i="7"/>
  <c r="M27" i="7" a="1"/>
  <c r="M27" i="7" s="1"/>
  <c r="P12" i="11" s="1"/>
  <c r="P13" i="11" s="1"/>
  <c r="P3" i="25"/>
  <c r="Q4" i="25"/>
  <c r="AK31" i="13"/>
  <c r="AL32" i="13"/>
  <c r="O19" i="2"/>
  <c r="Q3" i="14"/>
  <c r="R4" i="14"/>
  <c r="AK3" i="13"/>
  <c r="AL4" i="13"/>
  <c r="O34" i="11"/>
  <c r="P39" i="2"/>
  <c r="P40" i="2" s="1"/>
  <c r="O22" i="25"/>
  <c r="M67" i="7" a="1"/>
  <c r="M67" i="7" s="1"/>
  <c r="P27" i="11" s="1"/>
  <c r="N69" i="7"/>
  <c r="N85" i="7"/>
  <c r="M83" i="7" a="1"/>
  <c r="M83" i="7" s="1"/>
  <c r="P33" i="11" s="1"/>
  <c r="R8" i="2"/>
  <c r="Q7" i="2"/>
  <c r="O28" i="11"/>
  <c r="P33" i="2"/>
  <c r="P34" i="2" s="1"/>
  <c r="M109" i="2"/>
  <c r="M43" i="25"/>
  <c r="O21" i="2"/>
  <c r="O22" i="2" s="1"/>
  <c r="Y40" i="8"/>
  <c r="J33" i="8"/>
  <c r="D34" i="8"/>
  <c r="K33" i="8"/>
  <c r="L33" i="8"/>
  <c r="M33" i="8"/>
  <c r="N33" i="8"/>
  <c r="O33" i="8"/>
  <c r="P33" i="8"/>
  <c r="Q33" i="8"/>
  <c r="P9" i="12"/>
  <c r="O8" i="12"/>
  <c r="M37" i="7"/>
  <c r="L35" i="7" a="1"/>
  <c r="L35" i="7" s="1"/>
  <c r="O15" i="11" s="1"/>
  <c r="W41" i="18"/>
  <c r="C34" i="18"/>
  <c r="I33" i="18"/>
  <c r="J33" i="18"/>
  <c r="K33" i="18"/>
  <c r="L33" i="18"/>
  <c r="M33" i="18"/>
  <c r="N33" i="18"/>
  <c r="O33" i="18"/>
  <c r="P33" i="18"/>
  <c r="O25" i="11"/>
  <c r="P30" i="2"/>
  <c r="P31" i="2" s="1"/>
  <c r="M59" i="7" a="1"/>
  <c r="M59" i="7" s="1"/>
  <c r="P24" i="11" s="1"/>
  <c r="P25" i="11" s="1"/>
  <c r="N61" i="7"/>
  <c r="M77" i="7"/>
  <c r="L75" i="7" a="1"/>
  <c r="L75" i="7" s="1"/>
  <c r="O30" i="11" s="1"/>
  <c r="M43" i="7" a="1"/>
  <c r="M43" i="7" s="1"/>
  <c r="P18" i="11" s="1"/>
  <c r="P19" i="11" s="1"/>
  <c r="N45" i="7"/>
  <c r="O36" i="2"/>
  <c r="O37" i="2" s="1"/>
  <c r="P3" i="11"/>
  <c r="Q4" i="11"/>
  <c r="O13" i="11"/>
  <c r="P18" i="2"/>
  <c r="P19" i="2" s="1"/>
  <c r="O19" i="11"/>
  <c r="P24" i="2"/>
  <c r="P25" i="2" s="1"/>
  <c r="L51" i="7" a="1"/>
  <c r="L51" i="7" s="1"/>
  <c r="O21" i="11" s="1"/>
  <c r="M53" i="7"/>
  <c r="L58" i="20"/>
  <c r="M35" i="20"/>
  <c r="L34" i="20"/>
  <c r="O27" i="2"/>
  <c r="O28" i="2" s="1"/>
  <c r="N22" i="11"/>
  <c r="AQ12" i="13"/>
  <c r="AH41" i="13"/>
  <c r="AH35" i="13"/>
  <c r="M136" i="2" s="1"/>
  <c r="M138" i="2" s="1"/>
  <c r="AN12" i="13"/>
  <c r="AR15" i="13" s="1"/>
  <c r="AR14" i="13"/>
  <c r="R16" i="18"/>
  <c r="R33" i="18"/>
  <c r="O128" i="2" l="1"/>
  <c r="O132" i="2" s="1"/>
  <c r="N133" i="2"/>
  <c r="M139" i="2"/>
  <c r="O137" i="2"/>
  <c r="N156" i="2"/>
  <c r="N157" i="2" s="1"/>
  <c r="AP12" i="13"/>
  <c r="O37" i="25"/>
  <c r="O38" i="25" s="1"/>
  <c r="P18" i="25"/>
  <c r="P21" i="25"/>
  <c r="P20" i="25"/>
  <c r="P19" i="25"/>
  <c r="D49" i="20"/>
  <c r="O69" i="7"/>
  <c r="O67" i="7" s="1" a="1"/>
  <c r="O67" i="7" s="1"/>
  <c r="R27" i="11" s="1"/>
  <c r="N67" i="7" a="1"/>
  <c r="N67" i="7" s="1"/>
  <c r="Q27" i="11" s="1"/>
  <c r="Q3" i="25"/>
  <c r="R4" i="25"/>
  <c r="P22" i="25"/>
  <c r="Q33" i="2"/>
  <c r="Q34" i="2" s="1"/>
  <c r="Q39" i="2"/>
  <c r="Q40" i="2" s="1"/>
  <c r="Q3" i="11"/>
  <c r="R4" i="11"/>
  <c r="R3" i="11" s="1"/>
  <c r="R3" i="14"/>
  <c r="S4" i="14"/>
  <c r="S3" i="14" s="1"/>
  <c r="Q18" i="2"/>
  <c r="Q19" i="2" s="1"/>
  <c r="N37" i="7"/>
  <c r="M35" i="7" a="1"/>
  <c r="M35" i="7" s="1"/>
  <c r="P15" i="11" s="1"/>
  <c r="N83" i="7" a="1"/>
  <c r="N83" i="7" s="1"/>
  <c r="Q33" i="11" s="1"/>
  <c r="O85" i="7"/>
  <c r="O83" i="7" s="1" a="1"/>
  <c r="O83" i="7" s="1"/>
  <c r="R33" i="11" s="1"/>
  <c r="O29" i="7"/>
  <c r="O27" i="7" s="1" a="1"/>
  <c r="O27" i="7" s="1"/>
  <c r="R12" i="11" s="1"/>
  <c r="N27" i="7" a="1"/>
  <c r="N27" i="7" s="1"/>
  <c r="Q12" i="11" s="1"/>
  <c r="O16" i="11"/>
  <c r="P21" i="2"/>
  <c r="P22" i="2" s="1"/>
  <c r="O31" i="11"/>
  <c r="P36" i="2"/>
  <c r="P37" i="2" s="1"/>
  <c r="R33" i="8"/>
  <c r="S16" i="8"/>
  <c r="R15" i="8"/>
  <c r="X41" i="18"/>
  <c r="Y41" i="18" s="1"/>
  <c r="V41" i="18"/>
  <c r="U41" i="18" s="1"/>
  <c r="W50" i="18"/>
  <c r="W70" i="18"/>
  <c r="W61" i="18"/>
  <c r="P28" i="11"/>
  <c r="N77" i="7"/>
  <c r="M75" i="7" a="1"/>
  <c r="M75" i="7" s="1"/>
  <c r="P30" i="11" s="1"/>
  <c r="P31" i="11" s="1"/>
  <c r="N109" i="2"/>
  <c r="N43" i="25"/>
  <c r="P34" i="11"/>
  <c r="M51" i="7" a="1"/>
  <c r="M51" i="7" s="1"/>
  <c r="P21" i="11" s="1"/>
  <c r="P22" i="11" s="1"/>
  <c r="N53" i="7"/>
  <c r="S8" i="2"/>
  <c r="S7" i="2" s="1"/>
  <c r="R7" i="2"/>
  <c r="AM32" i="13"/>
  <c r="AL31" i="13"/>
  <c r="P8" i="12"/>
  <c r="Q9" i="12"/>
  <c r="Y60" i="8"/>
  <c r="Z40" i="8"/>
  <c r="AA40" i="8" s="1"/>
  <c r="Y49" i="8"/>
  <c r="X40" i="8"/>
  <c r="W40" i="8" s="1"/>
  <c r="Y69" i="8"/>
  <c r="O61" i="7"/>
  <c r="O59" i="7" s="1" a="1"/>
  <c r="O59" i="7" s="1"/>
  <c r="R24" i="11" s="1"/>
  <c r="N59" i="7" a="1"/>
  <c r="N59" i="7" s="1"/>
  <c r="Q24" i="11" s="1"/>
  <c r="N43" i="7" a="1"/>
  <c r="N43" i="7" s="1"/>
  <c r="Q18" i="11" s="1"/>
  <c r="O45" i="7"/>
  <c r="O43" i="7" s="1" a="1"/>
  <c r="O43" i="7" s="1"/>
  <c r="R18" i="11" s="1"/>
  <c r="Q30" i="2"/>
  <c r="AM4" i="13"/>
  <c r="AL3" i="13"/>
  <c r="O22" i="11"/>
  <c r="P27" i="2"/>
  <c r="P28" i="2" s="1"/>
  <c r="Q24" i="2"/>
  <c r="N35" i="20"/>
  <c r="M34" i="20"/>
  <c r="M58" i="20"/>
  <c r="AI41" i="13"/>
  <c r="AI35" i="13"/>
  <c r="N136" i="2" s="1"/>
  <c r="AQ13" i="13"/>
  <c r="P128" i="2" l="1"/>
  <c r="P132" i="2" s="1"/>
  <c r="O133" i="2"/>
  <c r="N138" i="2"/>
  <c r="N139" i="2" s="1"/>
  <c r="P137" i="2"/>
  <c r="O156" i="2"/>
  <c r="O157" i="2" s="1"/>
  <c r="AP13" i="13"/>
  <c r="P37" i="25"/>
  <c r="Q37" i="25" s="1"/>
  <c r="Q18" i="25"/>
  <c r="Q21" i="25"/>
  <c r="Q20" i="25"/>
  <c r="Q19" i="25"/>
  <c r="R13" i="11"/>
  <c r="S18" i="2"/>
  <c r="R3" i="25"/>
  <c r="S4" i="25"/>
  <c r="S3" i="25" s="1"/>
  <c r="O77" i="7"/>
  <c r="O75" i="7" s="1" a="1"/>
  <c r="O75" i="7" s="1"/>
  <c r="R30" i="11" s="1"/>
  <c r="N75" i="7" a="1"/>
  <c r="N75" i="7" s="1"/>
  <c r="Q30" i="11" s="1"/>
  <c r="Q31" i="2"/>
  <c r="X70" i="18"/>
  <c r="Y70" i="18" s="1"/>
  <c r="V70" i="18"/>
  <c r="U70" i="18" s="1"/>
  <c r="Q22" i="25"/>
  <c r="X49" i="8"/>
  <c r="W49" i="8" s="1"/>
  <c r="Z49" i="8"/>
  <c r="AA49" i="8" s="1"/>
  <c r="X61" i="18"/>
  <c r="Y61" i="18" s="1"/>
  <c r="V61" i="18"/>
  <c r="U61" i="18" s="1"/>
  <c r="R19" i="11"/>
  <c r="S24" i="2"/>
  <c r="X60" i="8"/>
  <c r="W60" i="8" s="1"/>
  <c r="Z60" i="8"/>
  <c r="AA60" i="8" s="1"/>
  <c r="X50" i="18"/>
  <c r="Y50" i="18" s="1"/>
  <c r="V50" i="18"/>
  <c r="U50" i="18" s="1"/>
  <c r="R9" i="12"/>
  <c r="R8" i="12" s="1"/>
  <c r="Q8" i="12"/>
  <c r="R34" i="11"/>
  <c r="S39" i="2"/>
  <c r="O53" i="7"/>
  <c r="O51" i="7" s="1" a="1"/>
  <c r="O51" i="7" s="1"/>
  <c r="R21" i="11" s="1"/>
  <c r="N51" i="7" a="1"/>
  <c r="N51" i="7" s="1"/>
  <c r="Q21" i="11" s="1"/>
  <c r="Q34" i="11"/>
  <c r="R39" i="2"/>
  <c r="R40" i="2" s="1"/>
  <c r="Q28" i="11"/>
  <c r="R33" i="2"/>
  <c r="R34" i="2" s="1"/>
  <c r="Q27" i="2"/>
  <c r="Q28" i="2" s="1"/>
  <c r="R28" i="11"/>
  <c r="S33" i="2"/>
  <c r="Q19" i="11"/>
  <c r="R24" i="2"/>
  <c r="R25" i="2" s="1"/>
  <c r="Q21" i="2"/>
  <c r="Q22" i="2" s="1"/>
  <c r="AM3" i="13"/>
  <c r="AN4" i="13"/>
  <c r="AN3" i="13" s="1"/>
  <c r="Q25" i="11"/>
  <c r="R30" i="2"/>
  <c r="R31" i="2" s="1"/>
  <c r="S33" i="8"/>
  <c r="S15" i="8"/>
  <c r="P16" i="11"/>
  <c r="O37" i="7"/>
  <c r="O35" i="7" s="1" a="1"/>
  <c r="O35" i="7" s="1"/>
  <c r="R15" i="11" s="1"/>
  <c r="N35" i="7" a="1"/>
  <c r="N35" i="7" s="1"/>
  <c r="Q15" i="11" s="1"/>
  <c r="Q25" i="2"/>
  <c r="R25" i="11"/>
  <c r="S30" i="2"/>
  <c r="Z69" i="8"/>
  <c r="AA69" i="8" s="1"/>
  <c r="X69" i="8"/>
  <c r="W69" i="8" s="1"/>
  <c r="AM31" i="13"/>
  <c r="AN32" i="13"/>
  <c r="AN31" i="13" s="1"/>
  <c r="O109" i="2"/>
  <c r="O43" i="25"/>
  <c r="N34" i="20"/>
  <c r="N58" i="20"/>
  <c r="Q36" i="2"/>
  <c r="Q37" i="2" s="1"/>
  <c r="Q13" i="11"/>
  <c r="R18" i="2"/>
  <c r="R19" i="2" s="1"/>
  <c r="AQ14" i="13"/>
  <c r="AJ41" i="13"/>
  <c r="AJ35" i="13"/>
  <c r="O136" i="2" s="1"/>
  <c r="O138" i="2" s="1"/>
  <c r="Q128" i="2" l="1"/>
  <c r="Q132" i="2" s="1"/>
  <c r="P133" i="2"/>
  <c r="O139" i="2"/>
  <c r="Q137" i="2"/>
  <c r="P156" i="2"/>
  <c r="P157" i="2" s="1"/>
  <c r="AP15" i="13"/>
  <c r="AN8" i="13" a="1"/>
  <c r="AN8" i="13" s="1"/>
  <c r="AP14" i="13"/>
  <c r="AM10" i="13" s="1" a="1"/>
  <c r="AM10" i="13" s="1"/>
  <c r="Q21" i="14" s="1"/>
  <c r="AM8" i="13" a="1"/>
  <c r="AM8" i="13" s="1"/>
  <c r="P38" i="25"/>
  <c r="P109" i="2" s="1"/>
  <c r="S19" i="25"/>
  <c r="S18" i="25"/>
  <c r="S21" i="25"/>
  <c r="S20" i="25"/>
  <c r="R19" i="25"/>
  <c r="R21" i="25"/>
  <c r="R20" i="25"/>
  <c r="R18" i="25"/>
  <c r="R31" i="11"/>
  <c r="S36" i="2"/>
  <c r="S22" i="25"/>
  <c r="R22" i="25"/>
  <c r="R22" i="11"/>
  <c r="S27" i="2"/>
  <c r="S25" i="2"/>
  <c r="S19" i="2"/>
  <c r="Q16" i="11"/>
  <c r="R21" i="2"/>
  <c r="R22" i="2" s="1"/>
  <c r="R16" i="11"/>
  <c r="S21" i="2"/>
  <c r="S31" i="2"/>
  <c r="Q22" i="11"/>
  <c r="R27" i="2"/>
  <c r="R28" i="2" s="1"/>
  <c r="S40" i="2"/>
  <c r="Q38" i="25"/>
  <c r="R37" i="25"/>
  <c r="S34" i="2"/>
  <c r="Q31" i="11"/>
  <c r="R36" i="2"/>
  <c r="R37" i="2" s="1"/>
  <c r="AQ15" i="13"/>
  <c r="AK41" i="13"/>
  <c r="AK35" i="13"/>
  <c r="P136" i="2" s="1"/>
  <c r="R128" i="2" l="1"/>
  <c r="R132" i="2" s="1"/>
  <c r="Q133" i="2"/>
  <c r="AK10" i="13" a="1"/>
  <c r="AK10" i="13" s="1"/>
  <c r="O21" i="14" s="1"/>
  <c r="AN10" i="13" a="1"/>
  <c r="AN10" i="13" s="1"/>
  <c r="R21" i="14" s="1"/>
  <c r="AI8" i="13" a="1"/>
  <c r="AI8" i="13" s="1"/>
  <c r="AG8" i="13" a="1"/>
  <c r="AG8" i="13" s="1"/>
  <c r="P138" i="2"/>
  <c r="P139" i="2" s="1"/>
  <c r="R137" i="2"/>
  <c r="Q156" i="2"/>
  <c r="Q157" i="2" s="1"/>
  <c r="AI10" i="13" a="1"/>
  <c r="AI10" i="13" s="1"/>
  <c r="M21" i="14" s="1"/>
  <c r="AJ10" i="13" a="1"/>
  <c r="AJ10" i="13" s="1"/>
  <c r="N21" i="14" s="1"/>
  <c r="AL10" i="13" a="1"/>
  <c r="AL10" i="13" s="1"/>
  <c r="P21" i="14" s="1"/>
  <c r="AG10" i="13" a="1"/>
  <c r="AG10" i="13" s="1"/>
  <c r="K21" i="14" s="1"/>
  <c r="AH10" i="13" a="1"/>
  <c r="AH10" i="13" s="1"/>
  <c r="L21" i="14" s="1"/>
  <c r="AE10" i="13" a="1"/>
  <c r="AE10" i="13" s="1"/>
  <c r="AE14" i="13" s="1"/>
  <c r="AF10" i="13" a="1"/>
  <c r="AF10" i="13" s="1"/>
  <c r="AK8" i="13" a="1"/>
  <c r="AK8" i="13" s="1"/>
  <c r="AL8" i="13" a="1"/>
  <c r="AL8" i="13" s="1"/>
  <c r="AJ8" i="13" a="1"/>
  <c r="AJ8" i="13" s="1"/>
  <c r="AH8" i="13" a="1"/>
  <c r="AH8" i="13" s="1"/>
  <c r="AF8" i="13" a="1"/>
  <c r="AF8" i="13" s="1"/>
  <c r="AE8" i="13" a="1"/>
  <c r="AE8" i="13" s="1"/>
  <c r="P43" i="25"/>
  <c r="S22" i="2"/>
  <c r="R38" i="25"/>
  <c r="S37" i="25"/>
  <c r="S38" i="25" s="1"/>
  <c r="S37" i="2"/>
  <c r="Q109" i="2"/>
  <c r="Q43" i="25"/>
  <c r="S28" i="2"/>
  <c r="AL41" i="13"/>
  <c r="AL35" i="13"/>
  <c r="Q136" i="2" s="1"/>
  <c r="Q138" i="2" s="1"/>
  <c r="S128" i="2" l="1"/>
  <c r="S132" i="2" s="1"/>
  <c r="S133" i="2" s="1"/>
  <c r="R133" i="2"/>
  <c r="Q139" i="2"/>
  <c r="S137" i="2"/>
  <c r="S156" i="2"/>
  <c r="R156" i="2"/>
  <c r="R157" i="2" s="1"/>
  <c r="I21" i="14"/>
  <c r="S109" i="2"/>
  <c r="S43" i="25"/>
  <c r="AF14" i="13"/>
  <c r="AG14" i="13" s="1"/>
  <c r="AH14" i="13" s="1"/>
  <c r="AI14" i="13" s="1"/>
  <c r="AJ14" i="13" s="1"/>
  <c r="AK14" i="13" s="1"/>
  <c r="AL14" i="13" s="1"/>
  <c r="AM14" i="13" s="1"/>
  <c r="AN14" i="13" s="1"/>
  <c r="J21" i="14"/>
  <c r="R109" i="2"/>
  <c r="R43" i="25"/>
  <c r="AM41" i="13"/>
  <c r="AM35" i="13"/>
  <c r="R136" i="2" s="1"/>
  <c r="R138" i="2" s="1"/>
  <c r="R139" i="2" l="1"/>
  <c r="S157" i="2"/>
  <c r="AN35" i="13"/>
  <c r="S136" i="2" s="1"/>
  <c r="AN41" i="13"/>
  <c r="P23" i="7"/>
  <c r="F23" i="7" s="1"/>
  <c r="G23" i="7" s="1"/>
  <c r="H23" i="7" s="1"/>
  <c r="I23" i="7" s="1"/>
  <c r="J23" i="7" s="1"/>
  <c r="K23" i="7" s="1"/>
  <c r="L23" i="7" s="1"/>
  <c r="M23" i="7" s="1"/>
  <c r="N23" i="7" s="1"/>
  <c r="O23" i="7" s="1"/>
  <c r="P22" i="7"/>
  <c r="F22" i="7" s="1"/>
  <c r="G22" i="7" s="1"/>
  <c r="H22" i="7" s="1"/>
  <c r="I22" i="7" s="1"/>
  <c r="J22" i="7" s="1"/>
  <c r="K22" i="7" s="1"/>
  <c r="L22" i="7" s="1"/>
  <c r="M22" i="7" s="1"/>
  <c r="N22" i="7" s="1"/>
  <c r="O22" i="7" s="1"/>
  <c r="F21" i="7"/>
  <c r="G21" i="7" s="1"/>
  <c r="S138" i="2" l="1"/>
  <c r="S139" i="2" s="1"/>
  <c r="F19" i="7" a="1"/>
  <c r="F19" i="7" s="1"/>
  <c r="I9" i="11" s="1"/>
  <c r="I10" i="11" s="1"/>
  <c r="F13" i="7"/>
  <c r="F14" i="7"/>
  <c r="G14" i="7" s="1"/>
  <c r="H14" i="7" s="1"/>
  <c r="I14" i="7" s="1"/>
  <c r="J14" i="7" s="1"/>
  <c r="K14" i="7" s="1"/>
  <c r="L14" i="7" s="1"/>
  <c r="M14" i="7" s="1"/>
  <c r="N14" i="7" s="1"/>
  <c r="O14" i="7" s="1"/>
  <c r="F15" i="7"/>
  <c r="G15" i="7" s="1"/>
  <c r="H15" i="7" s="1"/>
  <c r="I15" i="7" s="1"/>
  <c r="J15" i="7" s="1"/>
  <c r="K15" i="7" s="1"/>
  <c r="L15" i="7" s="1"/>
  <c r="M15" i="7" s="1"/>
  <c r="N15" i="7" s="1"/>
  <c r="O15" i="7" s="1"/>
  <c r="H21" i="7"/>
  <c r="G19" i="7" a="1"/>
  <c r="G19" i="7" s="1"/>
  <c r="J9" i="11" s="1"/>
  <c r="J15" i="2" l="1"/>
  <c r="J16" i="2" s="1"/>
  <c r="F11" i="7" a="1"/>
  <c r="F11" i="7" s="1"/>
  <c r="I6" i="11" s="1"/>
  <c r="G13" i="7"/>
  <c r="K15" i="2"/>
  <c r="J10" i="11"/>
  <c r="H19" i="7" a="1"/>
  <c r="H19" i="7" s="1"/>
  <c r="K9" i="11" s="1"/>
  <c r="I21" i="7"/>
  <c r="H13" i="7" l="1"/>
  <c r="G11" i="7" a="1"/>
  <c r="G11" i="7" s="1"/>
  <c r="J6" i="11" s="1"/>
  <c r="I7" i="11"/>
  <c r="I36" i="11" s="1" a="1"/>
  <c r="I36" i="11" s="1"/>
  <c r="J12" i="2"/>
  <c r="I19" i="7" a="1"/>
  <c r="I19" i="7" s="1"/>
  <c r="L9" i="11" s="1"/>
  <c r="J21" i="7"/>
  <c r="L15" i="2"/>
  <c r="K10" i="11"/>
  <c r="K16" i="2"/>
  <c r="I14" i="12" l="1"/>
  <c r="I18" i="12"/>
  <c r="I15" i="12"/>
  <c r="I37" i="11"/>
  <c r="J11" i="25"/>
  <c r="I22" i="12"/>
  <c r="J18" i="14"/>
  <c r="I20" i="18"/>
  <c r="I21" i="18" s="1"/>
  <c r="I24" i="12"/>
  <c r="I38" i="12" s="1"/>
  <c r="I13" i="12"/>
  <c r="J39" i="25"/>
  <c r="J13" i="14"/>
  <c r="I19" i="12"/>
  <c r="I17" i="12"/>
  <c r="I16" i="12"/>
  <c r="J20" i="8"/>
  <c r="J21" i="8" s="1"/>
  <c r="I20" i="12"/>
  <c r="I21" i="12"/>
  <c r="J9" i="14"/>
  <c r="J13" i="2"/>
  <c r="J42" i="2" a="1"/>
  <c r="J42" i="2" s="1"/>
  <c r="J60" i="2" s="1"/>
  <c r="J7" i="11"/>
  <c r="J36" i="11" s="1" a="1"/>
  <c r="J36" i="11" s="1"/>
  <c r="K12" i="2"/>
  <c r="H11" i="7" a="1"/>
  <c r="H11" i="7" s="1"/>
  <c r="K6" i="11" s="1"/>
  <c r="I13" i="7"/>
  <c r="K21" i="7"/>
  <c r="J19" i="7" a="1"/>
  <c r="J19" i="7" s="1"/>
  <c r="M9" i="11" s="1"/>
  <c r="L16" i="2"/>
  <c r="M15" i="2"/>
  <c r="L10" i="11"/>
  <c r="J66" i="2" l="1"/>
  <c r="J67" i="2" s="1"/>
  <c r="J61" i="2"/>
  <c r="J57" i="2"/>
  <c r="J58" i="2" s="1"/>
  <c r="J48" i="2"/>
  <c r="J51" i="2"/>
  <c r="J54" i="2"/>
  <c r="J63" i="2"/>
  <c r="J64" i="2" s="1"/>
  <c r="R23" i="25"/>
  <c r="S23" i="25"/>
  <c r="J20" i="18"/>
  <c r="J21" i="18" s="1"/>
  <c r="K20" i="8"/>
  <c r="K21" i="8" s="1"/>
  <c r="J17" i="12"/>
  <c r="J21" i="12"/>
  <c r="K11" i="25"/>
  <c r="S24" i="25" s="1"/>
  <c r="J20" i="12"/>
  <c r="J14" i="12"/>
  <c r="J13" i="12"/>
  <c r="K18" i="14"/>
  <c r="J19" i="12"/>
  <c r="K9" i="14"/>
  <c r="J24" i="12"/>
  <c r="J38" i="12" s="1"/>
  <c r="K39" i="25"/>
  <c r="J16" i="12"/>
  <c r="J37" i="11"/>
  <c r="J15" i="12"/>
  <c r="J18" i="12"/>
  <c r="J22" i="12"/>
  <c r="K13" i="14"/>
  <c r="K13" i="2"/>
  <c r="K42" i="2" s="1" a="1"/>
  <c r="K42" i="2" s="1"/>
  <c r="K60" i="2" s="1"/>
  <c r="J92" i="2"/>
  <c r="J43" i="2"/>
  <c r="J89" i="2"/>
  <c r="J86" i="2"/>
  <c r="J23" i="25"/>
  <c r="J34" i="25" s="1"/>
  <c r="M23" i="25"/>
  <c r="Q23" i="25"/>
  <c r="J45" i="25"/>
  <c r="N23" i="25"/>
  <c r="P23" i="25"/>
  <c r="L23" i="25"/>
  <c r="O23" i="25"/>
  <c r="K23" i="25"/>
  <c r="J13" i="7"/>
  <c r="I11" i="7" a="1"/>
  <c r="I11" i="7" s="1"/>
  <c r="L6" i="11" s="1"/>
  <c r="L12" i="2"/>
  <c r="K7" i="11"/>
  <c r="K36" i="11" s="1" a="1"/>
  <c r="K36" i="11" s="1"/>
  <c r="L21" i="7"/>
  <c r="K19" i="7" a="1"/>
  <c r="K19" i="7" s="1"/>
  <c r="N9" i="11" s="1"/>
  <c r="M16" i="2"/>
  <c r="N15" i="2"/>
  <c r="M10" i="11"/>
  <c r="J69" i="2" l="1"/>
  <c r="K66" i="2"/>
  <c r="K67" i="2" s="1"/>
  <c r="K61" i="2"/>
  <c r="K57" i="2"/>
  <c r="K58" i="2" s="1"/>
  <c r="K48" i="2"/>
  <c r="K51" i="2"/>
  <c r="J55" i="2"/>
  <c r="K54" i="2"/>
  <c r="K63" i="2"/>
  <c r="K64" i="2" s="1"/>
  <c r="J80" i="2"/>
  <c r="J81" i="2" s="1"/>
  <c r="K43" i="2"/>
  <c r="I30" i="18"/>
  <c r="J30" i="8"/>
  <c r="K14" i="12"/>
  <c r="L39" i="25"/>
  <c r="K37" i="11"/>
  <c r="K18" i="12"/>
  <c r="K19" i="12"/>
  <c r="K15" i="12"/>
  <c r="K24" i="12"/>
  <c r="K38" i="12" s="1"/>
  <c r="L11" i="25"/>
  <c r="K16" i="12"/>
  <c r="K20" i="12"/>
  <c r="K13" i="12"/>
  <c r="L9" i="14"/>
  <c r="L20" i="8"/>
  <c r="L21" i="8" s="1"/>
  <c r="L18" i="14"/>
  <c r="K17" i="12"/>
  <c r="K20" i="18"/>
  <c r="K21" i="18" s="1"/>
  <c r="L13" i="14"/>
  <c r="K22" i="12"/>
  <c r="K21" i="12"/>
  <c r="L24" i="25"/>
  <c r="N24" i="25"/>
  <c r="K45" i="25"/>
  <c r="P24" i="25"/>
  <c r="K24" i="25"/>
  <c r="K34" i="25" s="1"/>
  <c r="R24" i="25"/>
  <c r="Q24" i="25"/>
  <c r="M24" i="25"/>
  <c r="O24" i="25"/>
  <c r="J46" i="25"/>
  <c r="J9" i="25"/>
  <c r="J35" i="25"/>
  <c r="J108" i="2"/>
  <c r="J110" i="2" s="1"/>
  <c r="L13" i="2"/>
  <c r="L42" i="2" s="1" a="1"/>
  <c r="L42" i="2" s="1"/>
  <c r="L60" i="2" s="1"/>
  <c r="I43" i="12"/>
  <c r="J87" i="2"/>
  <c r="K86" i="2"/>
  <c r="I45" i="12"/>
  <c r="K92" i="2"/>
  <c r="J93" i="2"/>
  <c r="L7" i="11"/>
  <c r="L36" i="11" s="1" a="1"/>
  <c r="L36" i="11" s="1"/>
  <c r="M12" i="2"/>
  <c r="K89" i="2"/>
  <c r="J90" i="2"/>
  <c r="I44" i="12"/>
  <c r="J49" i="2"/>
  <c r="J11" i="7" a="1"/>
  <c r="J11" i="7" s="1"/>
  <c r="M6" i="11" s="1"/>
  <c r="K13" i="7"/>
  <c r="O15" i="2"/>
  <c r="N10" i="11"/>
  <c r="N16" i="2"/>
  <c r="L19" i="7" a="1"/>
  <c r="L19" i="7" s="1"/>
  <c r="O9" i="11" s="1"/>
  <c r="M21" i="7"/>
  <c r="I29" i="18" l="1"/>
  <c r="AL75" i="21" s="1"/>
  <c r="J95" i="2"/>
  <c r="J29" i="8"/>
  <c r="K69" i="2"/>
  <c r="L66" i="2"/>
  <c r="L67" i="2" s="1"/>
  <c r="L61" i="2"/>
  <c r="L57" i="2"/>
  <c r="L58" i="2" s="1"/>
  <c r="L48" i="2"/>
  <c r="L51" i="2"/>
  <c r="K55" i="2"/>
  <c r="L54" i="2"/>
  <c r="L55" i="2" s="1"/>
  <c r="L63" i="2"/>
  <c r="L64" i="2" s="1"/>
  <c r="J118" i="2"/>
  <c r="J119" i="2" s="1"/>
  <c r="K80" i="2"/>
  <c r="K81" i="2" s="1"/>
  <c r="K46" i="25"/>
  <c r="K35" i="25"/>
  <c r="K108" i="2"/>
  <c r="K110" i="2" s="1"/>
  <c r="J29" i="18" s="1"/>
  <c r="K9" i="25"/>
  <c r="I47" i="12"/>
  <c r="N12" i="2"/>
  <c r="M7" i="11"/>
  <c r="M36" i="11" s="1" a="1"/>
  <c r="M36" i="11" s="1"/>
  <c r="L86" i="2"/>
  <c r="K87" i="2"/>
  <c r="J43" i="12"/>
  <c r="Q25" i="25"/>
  <c r="S26" i="25"/>
  <c r="R25" i="25"/>
  <c r="P26" i="25"/>
  <c r="Q26" i="25"/>
  <c r="M26" i="25"/>
  <c r="L45" i="25"/>
  <c r="O25" i="25"/>
  <c r="M25" i="25"/>
  <c r="N25" i="25"/>
  <c r="O26" i="25"/>
  <c r="P25" i="25"/>
  <c r="L25" i="25"/>
  <c r="L34" i="25" s="1"/>
  <c r="S25" i="25"/>
  <c r="N26" i="25"/>
  <c r="R26" i="25"/>
  <c r="K90" i="2"/>
  <c r="J44" i="12"/>
  <c r="L89" i="2"/>
  <c r="L43" i="2"/>
  <c r="L37" i="11"/>
  <c r="M11" i="25"/>
  <c r="M45" i="25" s="1"/>
  <c r="L13" i="12"/>
  <c r="L17" i="12"/>
  <c r="L24" i="12"/>
  <c r="L38" i="12" s="1"/>
  <c r="M13" i="14"/>
  <c r="L16" i="12"/>
  <c r="M39" i="25"/>
  <c r="M20" i="8"/>
  <c r="M21" i="8" s="1"/>
  <c r="L20" i="12"/>
  <c r="M9" i="14"/>
  <c r="L21" i="12"/>
  <c r="L14" i="12"/>
  <c r="L19" i="12"/>
  <c r="L22" i="12"/>
  <c r="M18" i="14"/>
  <c r="L15" i="12"/>
  <c r="L20" i="18"/>
  <c r="L21" i="18" s="1"/>
  <c r="L18" i="12"/>
  <c r="J45" i="12"/>
  <c r="L92" i="2"/>
  <c r="K93" i="2"/>
  <c r="J111" i="2"/>
  <c r="M13" i="2"/>
  <c r="M42" i="2" s="1" a="1"/>
  <c r="M42" i="2" s="1"/>
  <c r="M60" i="2" s="1"/>
  <c r="L13" i="7"/>
  <c r="K11" i="7" a="1"/>
  <c r="K11" i="7" s="1"/>
  <c r="N6" i="11" s="1"/>
  <c r="K30" i="8"/>
  <c r="J30" i="18"/>
  <c r="K49" i="2"/>
  <c r="M19" i="7" a="1"/>
  <c r="M19" i="7" s="1"/>
  <c r="P9" i="11" s="1"/>
  <c r="N21" i="7"/>
  <c r="O16" i="2"/>
  <c r="O10" i="11"/>
  <c r="P15" i="2"/>
  <c r="K95" i="2" l="1"/>
  <c r="K98" i="2" s="1"/>
  <c r="J96" i="2"/>
  <c r="J98" i="2"/>
  <c r="J99" i="2" s="1"/>
  <c r="K73" i="2"/>
  <c r="L69" i="2"/>
  <c r="M66" i="2"/>
  <c r="M67" i="2" s="1"/>
  <c r="M61" i="2"/>
  <c r="M57" i="2"/>
  <c r="M58" i="2" s="1"/>
  <c r="M51" i="2"/>
  <c r="M48" i="2"/>
  <c r="AM75" i="21"/>
  <c r="K29" i="8"/>
  <c r="M54" i="2"/>
  <c r="M55" i="2" s="1"/>
  <c r="M63" i="2"/>
  <c r="M64" i="2" s="1"/>
  <c r="K118" i="2"/>
  <c r="K119" i="2" s="1"/>
  <c r="L80" i="2"/>
  <c r="L81" i="2" s="1"/>
  <c r="K111" i="2"/>
  <c r="M34" i="25"/>
  <c r="M46" i="25" s="1"/>
  <c r="M118" i="2" s="1"/>
  <c r="L9" i="25"/>
  <c r="L46" i="25"/>
  <c r="L35" i="25"/>
  <c r="L108" i="2"/>
  <c r="L110" i="2" s="1"/>
  <c r="K29" i="18" s="1"/>
  <c r="J47" i="12"/>
  <c r="M43" i="2"/>
  <c r="M24" i="12"/>
  <c r="M38" i="12" s="1"/>
  <c r="M21" i="12"/>
  <c r="M20" i="12"/>
  <c r="M37" i="11"/>
  <c r="M18" i="12"/>
  <c r="M20" i="18"/>
  <c r="M21" i="18" s="1"/>
  <c r="M19" i="12"/>
  <c r="M15" i="12"/>
  <c r="N18" i="14"/>
  <c r="N11" i="25"/>
  <c r="N9" i="14"/>
  <c r="M17" i="12"/>
  <c r="M14" i="12"/>
  <c r="M22" i="12"/>
  <c r="N13" i="14"/>
  <c r="M16" i="12"/>
  <c r="N39" i="25"/>
  <c r="N20" i="8"/>
  <c r="K16" i="14"/>
  <c r="K11" i="14"/>
  <c r="L30" i="18"/>
  <c r="M30" i="8"/>
  <c r="O12" i="2"/>
  <c r="N7" i="11"/>
  <c r="N36" i="11" s="1" a="1"/>
  <c r="N36" i="11" s="1"/>
  <c r="M13" i="7"/>
  <c r="L11" i="7" a="1"/>
  <c r="L11" i="7" s="1"/>
  <c r="O6" i="11" s="1"/>
  <c r="M13" i="12"/>
  <c r="K43" i="12"/>
  <c r="M86" i="2"/>
  <c r="L87" i="2"/>
  <c r="K45" i="12"/>
  <c r="M92" i="2"/>
  <c r="L93" i="2"/>
  <c r="L49" i="2"/>
  <c r="M89" i="2"/>
  <c r="K44" i="12"/>
  <c r="L90" i="2"/>
  <c r="L30" i="8"/>
  <c r="K30" i="18"/>
  <c r="N13" i="2"/>
  <c r="N42" i="2" s="1" a="1"/>
  <c r="N42" i="2" s="1"/>
  <c r="N60" i="2" s="1"/>
  <c r="P16" i="2"/>
  <c r="O21" i="7"/>
  <c r="O19" i="7" s="1" a="1"/>
  <c r="O19" i="7" s="1"/>
  <c r="R9" i="11" s="1"/>
  <c r="N19" i="7" a="1"/>
  <c r="N19" i="7" s="1"/>
  <c r="Q9" i="11" s="1"/>
  <c r="P10" i="11"/>
  <c r="Q15" i="2"/>
  <c r="K96" i="2" l="1"/>
  <c r="I23" i="18"/>
  <c r="I24" i="18" s="1"/>
  <c r="L95" i="2"/>
  <c r="K102" i="2"/>
  <c r="K26" i="8" s="1"/>
  <c r="K99" i="2"/>
  <c r="L29" i="8"/>
  <c r="L73" i="2"/>
  <c r="L74" i="2" s="1"/>
  <c r="J23" i="18"/>
  <c r="M69" i="2"/>
  <c r="N66" i="2"/>
  <c r="N67" i="2" s="1"/>
  <c r="N61" i="2"/>
  <c r="N57" i="2"/>
  <c r="N58" i="2" s="1"/>
  <c r="N51" i="2"/>
  <c r="N48" i="2"/>
  <c r="N54" i="2"/>
  <c r="N63" i="2"/>
  <c r="N64" i="2" s="1"/>
  <c r="L118" i="2"/>
  <c r="L119" i="2" s="1"/>
  <c r="M80" i="2"/>
  <c r="M81" i="2" s="1"/>
  <c r="M9" i="25"/>
  <c r="M35" i="25"/>
  <c r="M108" i="2"/>
  <c r="M110" i="2" s="1"/>
  <c r="L29" i="18" s="1"/>
  <c r="L111" i="2"/>
  <c r="K47" i="12"/>
  <c r="M11" i="7" a="1"/>
  <c r="M11" i="7" s="1"/>
  <c r="P6" i="11" s="1"/>
  <c r="N13" i="7"/>
  <c r="N89" i="2"/>
  <c r="M90" i="2"/>
  <c r="L44" i="12"/>
  <c r="N92" i="2"/>
  <c r="M93" i="2"/>
  <c r="L45" i="12"/>
  <c r="N21" i="8"/>
  <c r="L16" i="14"/>
  <c r="L70" i="2"/>
  <c r="L11" i="14"/>
  <c r="O13" i="2"/>
  <c r="O42" i="2" s="1" a="1"/>
  <c r="O42" i="2" s="1"/>
  <c r="O60" i="2" s="1"/>
  <c r="N14" i="12"/>
  <c r="N18" i="12"/>
  <c r="O20" i="8"/>
  <c r="O21" i="8" s="1"/>
  <c r="N20" i="18"/>
  <c r="N21" i="18" s="1"/>
  <c r="N22" i="12"/>
  <c r="N16" i="12"/>
  <c r="N17" i="12"/>
  <c r="O9" i="14"/>
  <c r="N24" i="12"/>
  <c r="N38" i="12" s="1"/>
  <c r="N37" i="11"/>
  <c r="O11" i="25"/>
  <c r="N20" i="12"/>
  <c r="N21" i="12"/>
  <c r="O13" i="14"/>
  <c r="N19" i="12"/>
  <c r="N15" i="12"/>
  <c r="O39" i="25"/>
  <c r="N13" i="12"/>
  <c r="O18" i="14"/>
  <c r="N43" i="2"/>
  <c r="L43" i="12"/>
  <c r="M87" i="2"/>
  <c r="N86" i="2"/>
  <c r="K142" i="2"/>
  <c r="K148" i="2" s="1"/>
  <c r="Q27" i="25"/>
  <c r="O27" i="25"/>
  <c r="N45" i="25"/>
  <c r="N27" i="25"/>
  <c r="N34" i="25" s="1"/>
  <c r="R27" i="25"/>
  <c r="S27" i="25"/>
  <c r="P27" i="25"/>
  <c r="M49" i="2"/>
  <c r="P12" i="2"/>
  <c r="O7" i="11"/>
  <c r="O36" i="11" s="1" a="1"/>
  <c r="O36" i="11" s="1"/>
  <c r="K23" i="14"/>
  <c r="R15" i="2"/>
  <c r="Q10" i="11"/>
  <c r="R10" i="11"/>
  <c r="S15" i="2"/>
  <c r="Q16" i="2"/>
  <c r="I26" i="18" l="1"/>
  <c r="L96" i="2"/>
  <c r="L98" i="2"/>
  <c r="M95" i="2"/>
  <c r="K122" i="2"/>
  <c r="K23" i="8" s="1"/>
  <c r="F37" i="20" s="1"/>
  <c r="J24" i="18"/>
  <c r="J26" i="18"/>
  <c r="M73" i="2"/>
  <c r="M74" i="2" s="1"/>
  <c r="N69" i="2"/>
  <c r="O66" i="2"/>
  <c r="O67" i="2" s="1"/>
  <c r="O61" i="2"/>
  <c r="O57" i="2"/>
  <c r="O58" i="2" s="1"/>
  <c r="O51" i="2"/>
  <c r="O48" i="2"/>
  <c r="N55" i="2"/>
  <c r="M29" i="8"/>
  <c r="O54" i="2"/>
  <c r="O63" i="2"/>
  <c r="O64" i="2" s="1"/>
  <c r="M119" i="2"/>
  <c r="N80" i="2"/>
  <c r="N81" i="2" s="1"/>
  <c r="M111" i="2"/>
  <c r="N46" i="25"/>
  <c r="N108" i="2"/>
  <c r="N110" i="2" s="1"/>
  <c r="M29" i="18" s="1"/>
  <c r="N35" i="25"/>
  <c r="AN75" i="21"/>
  <c r="L23" i="14"/>
  <c r="L24" i="14" s="1"/>
  <c r="N9" i="25"/>
  <c r="L47" i="12"/>
  <c r="P13" i="2"/>
  <c r="P42" i="2" s="1" a="1"/>
  <c r="P42" i="2" s="1"/>
  <c r="P60" i="2" s="1"/>
  <c r="N87" i="2"/>
  <c r="O86" i="2"/>
  <c r="M43" i="12"/>
  <c r="N93" i="2"/>
  <c r="M45" i="12"/>
  <c r="O92" i="2"/>
  <c r="M11" i="14"/>
  <c r="M16" i="14"/>
  <c r="M70" i="2"/>
  <c r="R28" i="25"/>
  <c r="Q28" i="25"/>
  <c r="S28" i="25"/>
  <c r="O45" i="25"/>
  <c r="P28" i="25"/>
  <c r="O28" i="25"/>
  <c r="O34" i="25" s="1"/>
  <c r="O43" i="2"/>
  <c r="M44" i="12"/>
  <c r="O89" i="2"/>
  <c r="N90" i="2"/>
  <c r="N49" i="2"/>
  <c r="O13" i="7"/>
  <c r="O11" i="7" s="1" a="1"/>
  <c r="O11" i="7" s="1"/>
  <c r="N11" i="7" a="1"/>
  <c r="N11" i="7" s="1"/>
  <c r="Q6" i="11" s="1"/>
  <c r="Q12" i="2"/>
  <c r="Q13" i="2" s="1"/>
  <c r="P7" i="11"/>
  <c r="P36" i="11" s="1" a="1"/>
  <c r="P36" i="11" s="1"/>
  <c r="M30" i="18"/>
  <c r="N30" i="8"/>
  <c r="P9" i="14"/>
  <c r="O19" i="12"/>
  <c r="P39" i="25"/>
  <c r="O15" i="12"/>
  <c r="O22" i="12"/>
  <c r="P20" i="8"/>
  <c r="P21" i="8" s="1"/>
  <c r="O21" i="12"/>
  <c r="O20" i="18"/>
  <c r="O21" i="18" s="1"/>
  <c r="O24" i="12"/>
  <c r="O38" i="12" s="1"/>
  <c r="O37" i="11"/>
  <c r="O16" i="12"/>
  <c r="P13" i="14"/>
  <c r="P11" i="25"/>
  <c r="O18" i="12"/>
  <c r="O13" i="12"/>
  <c r="O20" i="12"/>
  <c r="P18" i="14"/>
  <c r="O17" i="12"/>
  <c r="O14" i="12"/>
  <c r="S16" i="2"/>
  <c r="R16" i="2"/>
  <c r="AM71" i="21" l="1"/>
  <c r="AM72" i="21"/>
  <c r="K24" i="8"/>
  <c r="M96" i="2"/>
  <c r="M98" i="2"/>
  <c r="M102" i="2" s="1"/>
  <c r="L99" i="2"/>
  <c r="L102" i="2"/>
  <c r="L103" i="2" s="1"/>
  <c r="N95" i="2"/>
  <c r="K23" i="18"/>
  <c r="K24" i="18" s="1"/>
  <c r="N29" i="8"/>
  <c r="N73" i="2"/>
  <c r="N74" i="2" s="1"/>
  <c r="O69" i="2"/>
  <c r="P66" i="2"/>
  <c r="P67" i="2" s="1"/>
  <c r="P61" i="2"/>
  <c r="P57" i="2"/>
  <c r="P58" i="2" s="1"/>
  <c r="P51" i="2"/>
  <c r="P48" i="2"/>
  <c r="O55" i="2"/>
  <c r="P54" i="2"/>
  <c r="P63" i="2"/>
  <c r="P64" i="2" s="1"/>
  <c r="N118" i="2"/>
  <c r="N119" i="2" s="1"/>
  <c r="O80" i="2"/>
  <c r="O81" i="2" s="1"/>
  <c r="O9" i="25"/>
  <c r="N111" i="2"/>
  <c r="O108" i="2"/>
  <c r="O110" i="2" s="1"/>
  <c r="N29" i="18" s="1"/>
  <c r="O46" i="25"/>
  <c r="O35" i="25"/>
  <c r="R6" i="11"/>
  <c r="S12" i="2" s="1"/>
  <c r="M47" i="12"/>
  <c r="Q42" i="2" a="1"/>
  <c r="Q42" i="2" s="1"/>
  <c r="Q60" i="2" s="1"/>
  <c r="N45" i="12"/>
  <c r="O93" i="2"/>
  <c r="P92" i="2"/>
  <c r="K151" i="2"/>
  <c r="J27" i="18" s="1"/>
  <c r="J28" i="18" s="1"/>
  <c r="P14" i="12"/>
  <c r="P24" i="12"/>
  <c r="P38" i="12" s="1"/>
  <c r="Q20" i="8"/>
  <c r="Q21" i="8" s="1"/>
  <c r="P16" i="12"/>
  <c r="P17" i="12"/>
  <c r="P20" i="18"/>
  <c r="P21" i="18" s="1"/>
  <c r="Q39" i="25"/>
  <c r="P21" i="12"/>
  <c r="Q9" i="14"/>
  <c r="Q13" i="14"/>
  <c r="P15" i="12"/>
  <c r="P19" i="12"/>
  <c r="Q18" i="14"/>
  <c r="P20" i="12"/>
  <c r="P18" i="12"/>
  <c r="P37" i="11"/>
  <c r="P22" i="12"/>
  <c r="P13" i="12"/>
  <c r="Q11" i="25"/>
  <c r="N43" i="12"/>
  <c r="O87" i="2"/>
  <c r="P86" i="2"/>
  <c r="P29" i="25"/>
  <c r="P34" i="25" s="1"/>
  <c r="S29" i="25"/>
  <c r="Q29" i="25"/>
  <c r="P45" i="25"/>
  <c r="R29" i="25"/>
  <c r="R12" i="2"/>
  <c r="Q7" i="11"/>
  <c r="Q36" i="11" s="1" a="1"/>
  <c r="Q36" i="11" s="1"/>
  <c r="O90" i="2"/>
  <c r="P89" i="2"/>
  <c r="N44" i="12"/>
  <c r="M23" i="14"/>
  <c r="M24" i="14" s="1"/>
  <c r="P43" i="2"/>
  <c r="N16" i="14"/>
  <c r="N70" i="2"/>
  <c r="N11" i="14"/>
  <c r="O49" i="2"/>
  <c r="N30" i="18"/>
  <c r="O30" i="8"/>
  <c r="F53" i="20"/>
  <c r="F42" i="20"/>
  <c r="K31" i="18"/>
  <c r="L31" i="8"/>
  <c r="K26" i="18" l="1"/>
  <c r="M26" i="8"/>
  <c r="M122" i="2"/>
  <c r="M23" i="8" s="1"/>
  <c r="H37" i="20" s="1"/>
  <c r="M142" i="2"/>
  <c r="M148" i="2" s="1"/>
  <c r="L26" i="8"/>
  <c r="L122" i="2"/>
  <c r="L142" i="2"/>
  <c r="L148" i="2" s="1"/>
  <c r="L151" i="2" s="1"/>
  <c r="K27" i="18" s="1"/>
  <c r="M99" i="2"/>
  <c r="L23" i="18"/>
  <c r="O95" i="2"/>
  <c r="N96" i="2"/>
  <c r="N98" i="2"/>
  <c r="N99" i="2" s="1"/>
  <c r="O29" i="8"/>
  <c r="O73" i="2"/>
  <c r="O74" i="2" s="1"/>
  <c r="P69" i="2"/>
  <c r="Q66" i="2"/>
  <c r="Q67" i="2" s="1"/>
  <c r="Q61" i="2"/>
  <c r="Q57" i="2"/>
  <c r="Q58" i="2" s="1"/>
  <c r="Q51" i="2"/>
  <c r="Q48" i="2"/>
  <c r="P55" i="2"/>
  <c r="Q54" i="2"/>
  <c r="Q63" i="2"/>
  <c r="Q64" i="2" s="1"/>
  <c r="K160" i="2"/>
  <c r="K171" i="2" s="1"/>
  <c r="O118" i="2"/>
  <c r="O119" i="2" s="1"/>
  <c r="P80" i="2"/>
  <c r="P81" i="2" s="1"/>
  <c r="Q43" i="2"/>
  <c r="R7" i="11"/>
  <c r="R36" i="11" s="1" a="1"/>
  <c r="R36" i="11" s="1"/>
  <c r="S20" i="8" s="1"/>
  <c r="O111" i="2"/>
  <c r="P46" i="25"/>
  <c r="P108" i="2"/>
  <c r="P110" i="2" s="1"/>
  <c r="O29" i="18" s="1"/>
  <c r="P35" i="25"/>
  <c r="P9" i="25"/>
  <c r="N23" i="14"/>
  <c r="N24" i="14" s="1"/>
  <c r="N47" i="12"/>
  <c r="P49" i="2"/>
  <c r="Q92" i="2"/>
  <c r="O45" i="12"/>
  <c r="P93" i="2"/>
  <c r="M31" i="8"/>
  <c r="L31" i="18"/>
  <c r="Q89" i="2"/>
  <c r="O44" i="12"/>
  <c r="P90" i="2"/>
  <c r="P87" i="2"/>
  <c r="Q86" i="2"/>
  <c r="O43" i="12"/>
  <c r="K27" i="8"/>
  <c r="K28" i="8" s="1"/>
  <c r="Q22" i="12"/>
  <c r="Q21" i="12"/>
  <c r="R9" i="14"/>
  <c r="Q17" i="12"/>
  <c r="R13" i="14"/>
  <c r="Q37" i="11"/>
  <c r="Q15" i="12"/>
  <c r="R11" i="25"/>
  <c r="Q18" i="12"/>
  <c r="Q20" i="18"/>
  <c r="Q21" i="18" s="1"/>
  <c r="Q20" i="12"/>
  <c r="Q24" i="12"/>
  <c r="Q38" i="12" s="1"/>
  <c r="Q16" i="12"/>
  <c r="R18" i="14"/>
  <c r="Q13" i="12"/>
  <c r="R39" i="25"/>
  <c r="R20" i="8"/>
  <c r="R21" i="8" s="1"/>
  <c r="Q19" i="12"/>
  <c r="Q14" i="12"/>
  <c r="R13" i="2"/>
  <c r="R42" i="2" s="1" a="1"/>
  <c r="R42" i="2" s="1"/>
  <c r="R60" i="2" s="1"/>
  <c r="S13" i="2"/>
  <c r="S42" i="2" s="1" a="1"/>
  <c r="S42" i="2" s="1"/>
  <c r="S60" i="2" s="1"/>
  <c r="O11" i="14"/>
  <c r="O70" i="2"/>
  <c r="O16" i="14"/>
  <c r="S30" i="25"/>
  <c r="Q45" i="25"/>
  <c r="Q30" i="25"/>
  <c r="Q34" i="25" s="1"/>
  <c r="R30" i="25"/>
  <c r="M103" i="2"/>
  <c r="O30" i="18"/>
  <c r="P30" i="8"/>
  <c r="K28" i="18" l="1"/>
  <c r="K32" i="18" s="1"/>
  <c r="K35" i="18" s="1"/>
  <c r="M123" i="2"/>
  <c r="L143" i="2"/>
  <c r="O96" i="2"/>
  <c r="O98" i="2"/>
  <c r="N23" i="18" s="1"/>
  <c r="P95" i="2"/>
  <c r="M23" i="18"/>
  <c r="M26" i="18" s="1"/>
  <c r="L24" i="18"/>
  <c r="L26" i="18"/>
  <c r="L123" i="2"/>
  <c r="L23" i="8"/>
  <c r="N102" i="2"/>
  <c r="N26" i="8" s="1"/>
  <c r="P29" i="8"/>
  <c r="P73" i="2"/>
  <c r="P74" i="2" s="1"/>
  <c r="Q69" i="2"/>
  <c r="S66" i="2"/>
  <c r="R66" i="2"/>
  <c r="R67" i="2" s="1"/>
  <c r="R61" i="2"/>
  <c r="M24" i="8"/>
  <c r="S57" i="2"/>
  <c r="S51" i="2"/>
  <c r="S48" i="2"/>
  <c r="R57" i="2"/>
  <c r="R58" i="2" s="1"/>
  <c r="R51" i="2"/>
  <c r="R48" i="2"/>
  <c r="Q55" i="2"/>
  <c r="R54" i="2"/>
  <c r="R63" i="2"/>
  <c r="R64" i="2" s="1"/>
  <c r="S54" i="2"/>
  <c r="S63" i="2"/>
  <c r="L160" i="2"/>
  <c r="L171" i="2" s="1"/>
  <c r="L172" i="2" s="1"/>
  <c r="P118" i="2"/>
  <c r="P119" i="2" s="1"/>
  <c r="Q80" i="2"/>
  <c r="Q81" i="2" s="1"/>
  <c r="R24" i="12"/>
  <c r="R38" i="12" s="1"/>
  <c r="R17" i="12"/>
  <c r="R14" i="12"/>
  <c r="R16" i="12"/>
  <c r="R20" i="12"/>
  <c r="S13" i="14"/>
  <c r="R37" i="11"/>
  <c r="S39" i="25"/>
  <c r="R18" i="12"/>
  <c r="S18" i="14"/>
  <c r="R22" i="12"/>
  <c r="R21" i="12"/>
  <c r="R15" i="12"/>
  <c r="R13" i="12"/>
  <c r="S11" i="25"/>
  <c r="S45" i="25" s="1"/>
  <c r="S9" i="14"/>
  <c r="R19" i="12"/>
  <c r="R20" i="18"/>
  <c r="R21" i="18" s="1"/>
  <c r="Q9" i="25"/>
  <c r="P111" i="2"/>
  <c r="Q46" i="25"/>
  <c r="Q108" i="2"/>
  <c r="Q110" i="2" s="1"/>
  <c r="P29" i="18" s="1"/>
  <c r="Q35" i="25"/>
  <c r="Q49" i="2"/>
  <c r="S21" i="8"/>
  <c r="O47" i="12"/>
  <c r="R43" i="2"/>
  <c r="S43" i="2"/>
  <c r="H53" i="20"/>
  <c r="H42" i="20"/>
  <c r="F50" i="20"/>
  <c r="Q87" i="2"/>
  <c r="R86" i="2"/>
  <c r="P43" i="12"/>
  <c r="S31" i="25"/>
  <c r="R31" i="25"/>
  <c r="R34" i="25" s="1"/>
  <c r="R45" i="25"/>
  <c r="O23" i="14"/>
  <c r="O24" i="14" s="1"/>
  <c r="Q93" i="2"/>
  <c r="R92" i="2"/>
  <c r="P45" i="12"/>
  <c r="M151" i="2"/>
  <c r="L27" i="18" s="1"/>
  <c r="M143" i="2"/>
  <c r="P70" i="2"/>
  <c r="P16" i="14"/>
  <c r="P11" i="14"/>
  <c r="N31" i="8"/>
  <c r="M31" i="18"/>
  <c r="P44" i="12"/>
  <c r="Q90" i="2"/>
  <c r="R89" i="2"/>
  <c r="L152" i="2"/>
  <c r="L27" i="8"/>
  <c r="L28" i="8" s="1"/>
  <c r="Q30" i="8"/>
  <c r="P30" i="18"/>
  <c r="N122" i="2" l="1"/>
  <c r="N23" i="8" s="1"/>
  <c r="I37" i="20" s="1"/>
  <c r="I53" i="20" s="1"/>
  <c r="N142" i="2"/>
  <c r="N148" i="2" s="1"/>
  <c r="N151" i="2" s="1"/>
  <c r="M27" i="18" s="1"/>
  <c r="M28" i="18" s="1"/>
  <c r="M32" i="18" s="1"/>
  <c r="N103" i="2"/>
  <c r="M24" i="18"/>
  <c r="P96" i="2"/>
  <c r="Q95" i="2"/>
  <c r="P98" i="2"/>
  <c r="O23" i="18" s="1"/>
  <c r="C42" i="18"/>
  <c r="C43" i="18" s="1"/>
  <c r="O99" i="2"/>
  <c r="O102" i="2"/>
  <c r="AN71" i="21"/>
  <c r="AN72" i="21"/>
  <c r="AL100" i="21" s="1"/>
  <c r="G37" i="20"/>
  <c r="L24" i="8"/>
  <c r="L28" i="18"/>
  <c r="L32" i="18" s="1"/>
  <c r="L35" i="18" s="1"/>
  <c r="N24" i="18"/>
  <c r="N26" i="18"/>
  <c r="Q29" i="8"/>
  <c r="Q73" i="2"/>
  <c r="Q74" i="2" s="1"/>
  <c r="S69" i="2"/>
  <c r="R69" i="2"/>
  <c r="S61" i="2"/>
  <c r="S67" i="2"/>
  <c r="S58" i="2"/>
  <c r="R55" i="2"/>
  <c r="S64" i="2"/>
  <c r="Q70" i="2"/>
  <c r="Q11" i="14"/>
  <c r="S55" i="2"/>
  <c r="Q16" i="14"/>
  <c r="L161" i="2"/>
  <c r="M160" i="2"/>
  <c r="M171" i="2" s="1"/>
  <c r="M172" i="2" s="1"/>
  <c r="Q118" i="2"/>
  <c r="Q119" i="2" s="1"/>
  <c r="R80" i="2"/>
  <c r="R81" i="2" s="1"/>
  <c r="S32" i="25"/>
  <c r="S34" i="25" s="1"/>
  <c r="S108" i="2" s="1"/>
  <c r="S110" i="2" s="1"/>
  <c r="R29" i="18" s="1"/>
  <c r="R9" i="25"/>
  <c r="Q111" i="2"/>
  <c r="R108" i="2"/>
  <c r="R110" i="2" s="1"/>
  <c r="Q29" i="18" s="1"/>
  <c r="R46" i="25"/>
  <c r="R35" i="25"/>
  <c r="P47" i="12"/>
  <c r="P23" i="14"/>
  <c r="P24" i="14" s="1"/>
  <c r="R30" i="18"/>
  <c r="S30" i="8"/>
  <c r="O31" i="8"/>
  <c r="N31" i="18"/>
  <c r="S49" i="2"/>
  <c r="M27" i="8"/>
  <c r="M28" i="8" s="1"/>
  <c r="M152" i="2"/>
  <c r="R93" i="2"/>
  <c r="S92" i="2"/>
  <c r="Q45" i="12"/>
  <c r="G50" i="20"/>
  <c r="L32" i="8"/>
  <c r="R49" i="2"/>
  <c r="R90" i="2"/>
  <c r="S89" i="2"/>
  <c r="Q44" i="12"/>
  <c r="R87" i="2"/>
  <c r="S86" i="2"/>
  <c r="Q43" i="12"/>
  <c r="Q30" i="18"/>
  <c r="R30" i="8"/>
  <c r="N143" i="2" l="1"/>
  <c r="I42" i="20"/>
  <c r="N24" i="8"/>
  <c r="N123" i="2"/>
  <c r="D42" i="8"/>
  <c r="D43" i="8" s="1"/>
  <c r="O26" i="8"/>
  <c r="O122" i="2"/>
  <c r="O142" i="2"/>
  <c r="O148" i="2" s="1"/>
  <c r="O151" i="2" s="1"/>
  <c r="N27" i="18" s="1"/>
  <c r="N28" i="18" s="1"/>
  <c r="N32" i="18" s="1"/>
  <c r="N35" i="18" s="1"/>
  <c r="G42" i="20"/>
  <c r="G53" i="20"/>
  <c r="Q96" i="2"/>
  <c r="R95" i="2"/>
  <c r="Q98" i="2"/>
  <c r="Q99" i="2" s="1"/>
  <c r="AM100" i="21"/>
  <c r="AN100" i="21" s="1"/>
  <c r="AK100" i="21"/>
  <c r="AJ100" i="21" s="1"/>
  <c r="P99" i="2"/>
  <c r="P102" i="2"/>
  <c r="O103" i="2"/>
  <c r="M35" i="18"/>
  <c r="C57" i="18"/>
  <c r="O24" i="18"/>
  <c r="O26" i="18"/>
  <c r="R29" i="8"/>
  <c r="S29" i="8"/>
  <c r="S73" i="2"/>
  <c r="R73" i="2"/>
  <c r="R74" i="2" s="1"/>
  <c r="Q23" i="14"/>
  <c r="Q24" i="14" s="1"/>
  <c r="P31" i="18" s="1"/>
  <c r="M161" i="2"/>
  <c r="N160" i="2"/>
  <c r="N171" i="2" s="1"/>
  <c r="N172" i="2" s="1"/>
  <c r="R118" i="2"/>
  <c r="R119" i="2" s="1"/>
  <c r="S80" i="2"/>
  <c r="S81" i="2" s="1"/>
  <c r="S35" i="25"/>
  <c r="S46" i="25"/>
  <c r="S9" i="25"/>
  <c r="R111" i="2"/>
  <c r="S111" i="2"/>
  <c r="Q47" i="12"/>
  <c r="P31" i="8"/>
  <c r="O31" i="18"/>
  <c r="S70" i="2"/>
  <c r="S11" i="14"/>
  <c r="S16" i="14"/>
  <c r="R43" i="12"/>
  <c r="S87" i="2"/>
  <c r="L35" i="8"/>
  <c r="G39" i="20"/>
  <c r="S90" i="2"/>
  <c r="R44" i="12"/>
  <c r="S93" i="2"/>
  <c r="R45" i="12"/>
  <c r="R11" i="14"/>
  <c r="R70" i="2"/>
  <c r="R16" i="14"/>
  <c r="M32" i="8"/>
  <c r="H50" i="20"/>
  <c r="N152" i="2"/>
  <c r="N27" i="8"/>
  <c r="N28" i="8" s="1"/>
  <c r="O143" i="2" l="1"/>
  <c r="P23" i="18"/>
  <c r="P26" i="18" s="1"/>
  <c r="P26" i="8"/>
  <c r="P122" i="2"/>
  <c r="P142" i="2"/>
  <c r="P148" i="2" s="1"/>
  <c r="P151" i="2" s="1"/>
  <c r="O27" i="18" s="1"/>
  <c r="O28" i="18" s="1"/>
  <c r="O32" i="18" s="1"/>
  <c r="O35" i="18" s="1"/>
  <c r="R96" i="2"/>
  <c r="S95" i="2"/>
  <c r="R98" i="2"/>
  <c r="R102" i="2" s="1"/>
  <c r="R26" i="8" s="1"/>
  <c r="Q102" i="2"/>
  <c r="P103" i="2"/>
  <c r="O23" i="8"/>
  <c r="O123" i="2"/>
  <c r="S74" i="2"/>
  <c r="N161" i="2"/>
  <c r="O160" i="2"/>
  <c r="O171" i="2" s="1"/>
  <c r="O172" i="2" s="1"/>
  <c r="S118" i="2"/>
  <c r="S119" i="2" s="1"/>
  <c r="Q31" i="8"/>
  <c r="R47" i="12"/>
  <c r="H39" i="20"/>
  <c r="M35" i="8"/>
  <c r="S23" i="14"/>
  <c r="R23" i="14"/>
  <c r="R24" i="14" s="1"/>
  <c r="I50" i="20"/>
  <c r="N32" i="8"/>
  <c r="O27" i="8"/>
  <c r="O28" i="8" s="1"/>
  <c r="O152" i="2"/>
  <c r="P24" i="18" l="1"/>
  <c r="P143" i="2"/>
  <c r="S96" i="2"/>
  <c r="S98" i="2"/>
  <c r="R23" i="18" s="1"/>
  <c r="R26" i="18" s="1"/>
  <c r="J37" i="20"/>
  <c r="O24" i="8"/>
  <c r="R99" i="2"/>
  <c r="Q23" i="18"/>
  <c r="R142" i="2"/>
  <c r="R148" i="2" s="1"/>
  <c r="P23" i="8"/>
  <c r="P123" i="2"/>
  <c r="Q26" i="8"/>
  <c r="Q142" i="2"/>
  <c r="Q148" i="2" s="1"/>
  <c r="Q151" i="2" s="1"/>
  <c r="P27" i="18" s="1"/>
  <c r="P28" i="18" s="1"/>
  <c r="P32" i="18" s="1"/>
  <c r="P35" i="18" s="1"/>
  <c r="Q122" i="2"/>
  <c r="Q103" i="2"/>
  <c r="R122" i="2"/>
  <c r="R23" i="8" s="1"/>
  <c r="R24" i="8" s="1"/>
  <c r="O161" i="2"/>
  <c r="P160" i="2"/>
  <c r="P171" i="2" s="1"/>
  <c r="P172" i="2" s="1"/>
  <c r="S24" i="14"/>
  <c r="R31" i="18" s="1"/>
  <c r="P27" i="8"/>
  <c r="P28" i="8" s="1"/>
  <c r="P152" i="2"/>
  <c r="Q31" i="18"/>
  <c r="R31" i="8"/>
  <c r="O32" i="8"/>
  <c r="J50" i="20"/>
  <c r="N35" i="8"/>
  <c r="I39" i="20"/>
  <c r="D57" i="8"/>
  <c r="R103" i="2"/>
  <c r="M37" i="20" l="1"/>
  <c r="M53" i="20" s="1"/>
  <c r="Q23" i="8"/>
  <c r="Q123" i="2"/>
  <c r="P24" i="8"/>
  <c r="K37" i="20"/>
  <c r="Q24" i="18"/>
  <c r="Q26" i="18"/>
  <c r="R123" i="2"/>
  <c r="J53" i="20"/>
  <c r="J42" i="20"/>
  <c r="Q143" i="2"/>
  <c r="S99" i="2"/>
  <c r="S102" i="2"/>
  <c r="R24" i="18"/>
  <c r="P161" i="2"/>
  <c r="Q160" i="2"/>
  <c r="Q171" i="2" s="1"/>
  <c r="Q172" i="2" s="1"/>
  <c r="S31" i="8"/>
  <c r="O35" i="8"/>
  <c r="J39" i="20"/>
  <c r="K50" i="20"/>
  <c r="P32" i="8"/>
  <c r="Q27" i="8"/>
  <c r="Q28" i="8" s="1"/>
  <c r="Q152" i="2"/>
  <c r="R151" i="2"/>
  <c r="Q27" i="18" s="1"/>
  <c r="R143" i="2"/>
  <c r="M42" i="20" l="1"/>
  <c r="S26" i="8"/>
  <c r="S142" i="2"/>
  <c r="S148" i="2" s="1"/>
  <c r="S151" i="2" s="1"/>
  <c r="R27" i="18" s="1"/>
  <c r="R28" i="18" s="1"/>
  <c r="R32" i="18" s="1"/>
  <c r="R35" i="18" s="1"/>
  <c r="S122" i="2"/>
  <c r="S103" i="2"/>
  <c r="K42" i="20"/>
  <c r="K53" i="20"/>
  <c r="Q28" i="18"/>
  <c r="Q32" i="18" s="1"/>
  <c r="Q35" i="18" s="1"/>
  <c r="Q24" i="8"/>
  <c r="L37" i="20"/>
  <c r="Q161" i="2"/>
  <c r="R160" i="2"/>
  <c r="R171" i="2" s="1"/>
  <c r="R172" i="2" s="1"/>
  <c r="R27" i="8"/>
  <c r="R28" i="8" s="1"/>
  <c r="R152" i="2"/>
  <c r="Q32" i="8"/>
  <c r="L50" i="20"/>
  <c r="P35" i="8"/>
  <c r="K39" i="20"/>
  <c r="S143" i="2" l="1"/>
  <c r="L42" i="20"/>
  <c r="L53" i="20"/>
  <c r="S123" i="2"/>
  <c r="S23" i="8"/>
  <c r="R161" i="2"/>
  <c r="S160" i="2"/>
  <c r="S171" i="2" s="1"/>
  <c r="S172" i="2" s="1"/>
  <c r="R32" i="8"/>
  <c r="M50" i="20"/>
  <c r="L39" i="20"/>
  <c r="Q35" i="8"/>
  <c r="S27" i="8"/>
  <c r="S28" i="8" s="1"/>
  <c r="S152" i="2"/>
  <c r="N37" i="20" l="1"/>
  <c r="S24" i="8"/>
  <c r="S161" i="2"/>
  <c r="S32" i="8"/>
  <c r="N50" i="20"/>
  <c r="M39" i="20"/>
  <c r="R35" i="8"/>
  <c r="N42" i="20" l="1"/>
  <c r="N53" i="20"/>
  <c r="S35" i="8"/>
  <c r="N39" i="20"/>
  <c r="Q52" i="2" l="1"/>
  <c r="M52" i="2"/>
  <c r="K52" i="2" l="1"/>
  <c r="J52" i="2"/>
  <c r="J73" i="2"/>
  <c r="J16" i="14"/>
  <c r="J70" i="2"/>
  <c r="J11" i="14"/>
  <c r="K70" i="2"/>
  <c r="O52" i="2"/>
  <c r="S52" i="2"/>
  <c r="N52" i="2"/>
  <c r="P52" i="2"/>
  <c r="L52" i="2"/>
  <c r="R52" i="2"/>
  <c r="J23" i="14" l="1"/>
  <c r="J24" i="14" s="1"/>
  <c r="J74" i="2"/>
  <c r="J102" i="2"/>
  <c r="J26" i="8" s="1"/>
  <c r="K74" i="2"/>
  <c r="K24" i="14" l="1"/>
  <c r="J31" i="18" s="1"/>
  <c r="J32" i="18" s="1"/>
  <c r="J35" i="18" s="1"/>
  <c r="J122" i="2"/>
  <c r="J142" i="2"/>
  <c r="J148" i="2" s="1"/>
  <c r="J103" i="2"/>
  <c r="K103" i="2"/>
  <c r="J31" i="8"/>
  <c r="I31" i="18"/>
  <c r="K31" i="8" l="1"/>
  <c r="K32" i="8" s="1"/>
  <c r="K35" i="8" s="1"/>
  <c r="J143" i="2"/>
  <c r="J151" i="2"/>
  <c r="K143" i="2"/>
  <c r="J123" i="2"/>
  <c r="J23" i="8"/>
  <c r="K123" i="2"/>
  <c r="J160" i="2" l="1"/>
  <c r="E47" i="20" s="1"/>
  <c r="F47" i="20" s="1"/>
  <c r="G47" i="20" s="1"/>
  <c r="H47" i="20" s="1"/>
  <c r="I47" i="20" s="1"/>
  <c r="J47" i="20" s="1"/>
  <c r="K47" i="20" s="1"/>
  <c r="L47" i="20" s="1"/>
  <c r="M47" i="20" s="1"/>
  <c r="N47" i="20" s="1"/>
  <c r="I27" i="18"/>
  <c r="I28" i="18" s="1"/>
  <c r="I32" i="18" s="1"/>
  <c r="I35" i="18" s="1"/>
  <c r="F39" i="20"/>
  <c r="J152" i="2"/>
  <c r="J27" i="8"/>
  <c r="K152" i="2"/>
  <c r="AL72" i="21"/>
  <c r="AL71" i="21"/>
  <c r="J24" i="8"/>
  <c r="P27" i="21"/>
  <c r="E37" i="20"/>
  <c r="K161" i="2" l="1"/>
  <c r="J171" i="2"/>
  <c r="J172" i="2" s="1"/>
  <c r="J161" i="2"/>
  <c r="Y64" i="18"/>
  <c r="W62" i="18"/>
  <c r="U45" i="18"/>
  <c r="V42" i="18"/>
  <c r="X65" i="18"/>
  <c r="X43" i="18"/>
  <c r="X42" i="18"/>
  <c r="V64" i="18"/>
  <c r="V45" i="18"/>
  <c r="X64" i="18"/>
  <c r="U46" i="18"/>
  <c r="V66" i="18"/>
  <c r="W46" i="18"/>
  <c r="V65" i="18"/>
  <c r="Y46" i="18"/>
  <c r="U42" i="18"/>
  <c r="Y62" i="18"/>
  <c r="Y63" i="18"/>
  <c r="W66" i="18"/>
  <c r="X62" i="18"/>
  <c r="Y44" i="18"/>
  <c r="W42" i="18"/>
  <c r="W45" i="18"/>
  <c r="U66" i="18"/>
  <c r="U44" i="18"/>
  <c r="W63" i="18"/>
  <c r="X45" i="18"/>
  <c r="C38" i="18"/>
  <c r="X66" i="18"/>
  <c r="V43" i="18"/>
  <c r="W64" i="18"/>
  <c r="V46" i="18"/>
  <c r="U63" i="18"/>
  <c r="W65" i="18"/>
  <c r="X44" i="18"/>
  <c r="U65" i="18"/>
  <c r="X46" i="18"/>
  <c r="Y45" i="18"/>
  <c r="U64" i="18"/>
  <c r="W43" i="18"/>
  <c r="U43" i="18"/>
  <c r="V63" i="18"/>
  <c r="U62" i="18"/>
  <c r="V44" i="18"/>
  <c r="Y43" i="18"/>
  <c r="V62" i="18"/>
  <c r="W44" i="18"/>
  <c r="Y65" i="18"/>
  <c r="Y66" i="18"/>
  <c r="X63" i="18"/>
  <c r="Y42" i="18"/>
  <c r="J28" i="8"/>
  <c r="E50" i="20" s="1"/>
  <c r="E42" i="20"/>
  <c r="E53" i="20"/>
  <c r="AM94" i="21"/>
  <c r="AN94" i="21" s="1"/>
  <c r="P28" i="21"/>
  <c r="P31" i="21" s="1"/>
  <c r="P39" i="21" s="1"/>
  <c r="Z48" i="21" s="1"/>
  <c r="K172" i="2" l="1"/>
  <c r="C56" i="18"/>
  <c r="C58" i="18" s="1"/>
  <c r="C61" i="18" s="1"/>
  <c r="V75" i="18" s="1"/>
  <c r="C44" i="18"/>
  <c r="C47" i="18" s="1"/>
  <c r="U55" i="18" s="1"/>
  <c r="J32" i="8"/>
  <c r="J35" i="8" s="1"/>
  <c r="Z49" i="21"/>
  <c r="AG54" i="21" s="1"/>
  <c r="AM90" i="21"/>
  <c r="AL74" i="21"/>
  <c r="U53" i="18" l="1"/>
  <c r="X52" i="18"/>
  <c r="Y55" i="18"/>
  <c r="X73" i="18"/>
  <c r="X55" i="18"/>
  <c r="W55" i="18"/>
  <c r="Y53" i="18"/>
  <c r="X53" i="18"/>
  <c r="Y52" i="18"/>
  <c r="X71" i="18"/>
  <c r="U71" i="18"/>
  <c r="W51" i="18"/>
  <c r="W73" i="18"/>
  <c r="W74" i="18"/>
  <c r="V54" i="18"/>
  <c r="V71" i="18"/>
  <c r="V51" i="18"/>
  <c r="Y71" i="18"/>
  <c r="V74" i="18"/>
  <c r="W72" i="18"/>
  <c r="C63" i="18"/>
  <c r="C64" i="18" s="1"/>
  <c r="X72" i="18"/>
  <c r="X75" i="18"/>
  <c r="Y73" i="18"/>
  <c r="Y75" i="18"/>
  <c r="W71" i="18"/>
  <c r="Y72" i="18"/>
  <c r="X74" i="18"/>
  <c r="V73" i="18"/>
  <c r="U75" i="18"/>
  <c r="X54" i="18"/>
  <c r="V52" i="18"/>
  <c r="W54" i="18"/>
  <c r="Y51" i="18"/>
  <c r="W53" i="18"/>
  <c r="U73" i="18"/>
  <c r="V72" i="18"/>
  <c r="U72" i="18"/>
  <c r="V55" i="18"/>
  <c r="W75" i="18"/>
  <c r="C49" i="18"/>
  <c r="C50" i="18" s="1"/>
  <c r="U54" i="18"/>
  <c r="X51" i="18"/>
  <c r="W52" i="18"/>
  <c r="U52" i="18"/>
  <c r="Y54" i="18"/>
  <c r="Y74" i="18"/>
  <c r="U51" i="18"/>
  <c r="V53" i="18"/>
  <c r="U74" i="18"/>
  <c r="W65" i="8"/>
  <c r="AA62" i="8"/>
  <c r="AA65" i="8"/>
  <c r="X64" i="8"/>
  <c r="Y65" i="8"/>
  <c r="X65" i="8"/>
  <c r="W63" i="8"/>
  <c r="W64" i="8"/>
  <c r="X63" i="8"/>
  <c r="Y62" i="8"/>
  <c r="Y63" i="8"/>
  <c r="Z65" i="8"/>
  <c r="Z63" i="8"/>
  <c r="W62" i="8"/>
  <c r="Y64" i="8"/>
  <c r="Z64" i="8"/>
  <c r="Z62" i="8"/>
  <c r="AA63" i="8"/>
  <c r="X62" i="8"/>
  <c r="AA64" i="8"/>
  <c r="W61" i="8"/>
  <c r="X61" i="8"/>
  <c r="Z61" i="8"/>
  <c r="Y61" i="8"/>
  <c r="AA61" i="8"/>
  <c r="W42" i="8"/>
  <c r="Z42" i="8"/>
  <c r="W45" i="8"/>
  <c r="Y45" i="8"/>
  <c r="W44" i="8"/>
  <c r="Y44" i="8"/>
  <c r="Y42" i="8"/>
  <c r="AA42" i="8"/>
  <c r="X45" i="8"/>
  <c r="W43" i="8"/>
  <c r="AA43" i="8"/>
  <c r="X44" i="8"/>
  <c r="Z44" i="8"/>
  <c r="X43" i="8"/>
  <c r="Z45" i="8"/>
  <c r="AA45" i="8"/>
  <c r="Z43" i="8"/>
  <c r="AA44" i="8"/>
  <c r="Y43" i="8"/>
  <c r="X42" i="8"/>
  <c r="W41" i="8"/>
  <c r="X41" i="8"/>
  <c r="Y41" i="8"/>
  <c r="AA41" i="8"/>
  <c r="Z41" i="8"/>
  <c r="E39" i="20"/>
  <c r="E43" i="20" s="1"/>
  <c r="E45" i="20" s="1"/>
  <c r="E49" i="20" s="1"/>
  <c r="AL76" i="21"/>
  <c r="AL77" i="21" s="1"/>
  <c r="AL78" i="21" s="1"/>
  <c r="AL80" i="21" s="1"/>
  <c r="AM74" i="21"/>
  <c r="AM92" i="21"/>
  <c r="AM95" i="21" s="1"/>
  <c r="AN90" i="21"/>
  <c r="AN92" i="21" s="1"/>
  <c r="AN95" i="21" s="1"/>
  <c r="D38" i="8"/>
  <c r="AG56" i="21"/>
  <c r="AG55" i="21"/>
  <c r="AG61" i="21" s="1"/>
  <c r="AG63" i="21" s="1"/>
  <c r="E46" i="20" l="1"/>
  <c r="E55" i="20" s="1"/>
  <c r="E54" i="20"/>
  <c r="AM76" i="21"/>
  <c r="AM77" i="21" s="1"/>
  <c r="AM78" i="21" s="1"/>
  <c r="AM80" i="21" s="1"/>
  <c r="AN74" i="21"/>
  <c r="D56" i="8"/>
  <c r="D58" i="8" s="1"/>
  <c r="D44" i="8"/>
  <c r="E51" i="20"/>
  <c r="AN81" i="21"/>
  <c r="AL81" i="21"/>
  <c r="AL82" i="21" s="1"/>
  <c r="AL84" i="21" s="1"/>
  <c r="AL85" i="21" s="1"/>
  <c r="AM81" i="21"/>
  <c r="D61" i="8" l="1"/>
  <c r="W73" i="8" s="1"/>
  <c r="D47" i="8"/>
  <c r="W50" i="8" s="1"/>
  <c r="F41" i="20"/>
  <c r="F43" i="20" s="1"/>
  <c r="F45" i="20" s="1"/>
  <c r="F46" i="20" s="1"/>
  <c r="E56" i="20"/>
  <c r="E59" i="20" s="1"/>
  <c r="AM82" i="21"/>
  <c r="AM84" i="21" s="1"/>
  <c r="AM85" i="21" s="1"/>
  <c r="AJ104" i="21"/>
  <c r="AN101" i="21"/>
  <c r="AK101" i="21"/>
  <c r="AN105" i="21"/>
  <c r="AL105" i="21"/>
  <c r="AJ103" i="21"/>
  <c r="AN76" i="21"/>
  <c r="AN77" i="21" s="1"/>
  <c r="AN78" i="21" s="1"/>
  <c r="AN80" i="21" s="1"/>
  <c r="AN82" i="21" s="1"/>
  <c r="AN84" i="21" s="1"/>
  <c r="AN85" i="21" s="1"/>
  <c r="AN102" i="21"/>
  <c r="AJ105" i="21"/>
  <c r="AL103" i="21"/>
  <c r="AM102" i="21"/>
  <c r="AJ102" i="21"/>
  <c r="AK105" i="21"/>
  <c r="AL104" i="21"/>
  <c r="AL102" i="21"/>
  <c r="AN104" i="21"/>
  <c r="AM105" i="21"/>
  <c r="AK104" i="21"/>
  <c r="AL101" i="21"/>
  <c r="AJ101" i="21"/>
  <c r="AM101" i="21"/>
  <c r="AK103" i="21"/>
  <c r="AM103" i="21"/>
  <c r="AM104" i="21"/>
  <c r="AN103" i="21"/>
  <c r="AK102" i="21"/>
  <c r="Y54" i="8" l="1"/>
  <c r="W51" i="8"/>
  <c r="Z51" i="8"/>
  <c r="W52" i="8"/>
  <c r="AA53" i="8"/>
  <c r="AA51" i="8"/>
  <c r="W54" i="8"/>
  <c r="Z54" i="8"/>
  <c r="X53" i="8"/>
  <c r="X50" i="8"/>
  <c r="AA52" i="8"/>
  <c r="X54" i="8"/>
  <c r="Z50" i="8"/>
  <c r="Y53" i="8"/>
  <c r="X52" i="8"/>
  <c r="AA54" i="8"/>
  <c r="AA50" i="8"/>
  <c r="D49" i="8"/>
  <c r="D50" i="8" s="1"/>
  <c r="X51" i="8"/>
  <c r="Y52" i="8"/>
  <c r="Y50" i="8"/>
  <c r="W53" i="8"/>
  <c r="Z74" i="8"/>
  <c r="AA74" i="8"/>
  <c r="Y74" i="8"/>
  <c r="Y72" i="8"/>
  <c r="AA70" i="8"/>
  <c r="X71" i="8"/>
  <c r="W74" i="8"/>
  <c r="AA73" i="8"/>
  <c r="Z72" i="8"/>
  <c r="X70" i="8"/>
  <c r="W72" i="8"/>
  <c r="Z70" i="8"/>
  <c r="Z71" i="8"/>
  <c r="W70" i="8"/>
  <c r="Y70" i="8"/>
  <c r="Y71" i="8"/>
  <c r="W71" i="8"/>
  <c r="AA71" i="8"/>
  <c r="X72" i="8"/>
  <c r="Z73" i="8"/>
  <c r="AA72" i="8"/>
  <c r="Y73" i="8"/>
  <c r="X73" i="8"/>
  <c r="Z53" i="8"/>
  <c r="Y51" i="8"/>
  <c r="Z52" i="8"/>
  <c r="X74" i="8"/>
  <c r="D63" i="8"/>
  <c r="D64" i="8" s="1"/>
  <c r="F54" i="20"/>
  <c r="F49" i="20"/>
  <c r="F51" i="20" s="1"/>
  <c r="F55" i="20"/>
  <c r="G41" i="20"/>
  <c r="G43" i="20" s="1"/>
  <c r="G45" i="20" s="1"/>
  <c r="G46" i="20" s="1"/>
  <c r="F56" i="20" l="1"/>
  <c r="F59" i="20" s="1"/>
  <c r="N62" i="20" s="1"/>
  <c r="G55" i="20"/>
  <c r="H41" i="20"/>
  <c r="H43" i="20" s="1"/>
  <c r="H45" i="20" s="1"/>
  <c r="H46" i="20" s="1"/>
  <c r="G54" i="20"/>
  <c r="G49" i="20"/>
  <c r="G51" i="20" l="1"/>
  <c r="I41" i="20"/>
  <c r="I43" i="20" s="1"/>
  <c r="I45" i="20" s="1"/>
  <c r="H55" i="20"/>
  <c r="H54" i="20"/>
  <c r="H49" i="20"/>
  <c r="H51" i="20" s="1"/>
  <c r="G56" i="20"/>
  <c r="G59" i="20" l="1"/>
  <c r="I49" i="20"/>
  <c r="I54" i="20"/>
  <c r="H56" i="20"/>
  <c r="H59" i="20" s="1"/>
  <c r="I46" i="20"/>
  <c r="I55" i="20" l="1"/>
  <c r="I56" i="20" s="1"/>
  <c r="I59" i="20" s="1"/>
  <c r="J41" i="20"/>
  <c r="J43" i="20" s="1"/>
  <c r="J45" i="20" s="1"/>
  <c r="I51" i="20"/>
  <c r="J46" i="20" l="1"/>
  <c r="J54" i="20"/>
  <c r="J49" i="20"/>
  <c r="J51" i="20" l="1"/>
  <c r="J55" i="20"/>
  <c r="J56" i="20" s="1"/>
  <c r="K41" i="20"/>
  <c r="K43" i="20" s="1"/>
  <c r="K45" i="20" s="1"/>
  <c r="K46" i="20" s="1"/>
  <c r="J59" i="20" l="1"/>
  <c r="L41" i="20"/>
  <c r="L43" i="20" s="1"/>
  <c r="L45" i="20" s="1"/>
  <c r="L46" i="20" s="1"/>
  <c r="K55" i="20"/>
  <c r="K49" i="20"/>
  <c r="K54" i="20"/>
  <c r="M41" i="20" l="1"/>
  <c r="M43" i="20" s="1"/>
  <c r="M45" i="20" s="1"/>
  <c r="L55" i="20"/>
  <c r="K51" i="20"/>
  <c r="K56" i="20"/>
  <c r="K59" i="20" s="1"/>
  <c r="L54" i="20"/>
  <c r="L49" i="20"/>
  <c r="L51" i="20" s="1"/>
  <c r="L56" i="20" l="1"/>
  <c r="L59" i="20" s="1"/>
  <c r="M46" i="20"/>
  <c r="M49" i="20"/>
  <c r="M51" i="20" s="1"/>
  <c r="M54" i="20"/>
  <c r="N41" i="20" l="1"/>
  <c r="N43" i="20" s="1"/>
  <c r="N45" i="20" s="1"/>
  <c r="N46" i="20" s="1"/>
  <c r="N55" i="20" s="1"/>
  <c r="M55" i="20"/>
  <c r="M56" i="20" s="1"/>
  <c r="M59" i="20" s="1"/>
  <c r="N54" i="20" l="1"/>
  <c r="N56" i="20" s="1"/>
  <c r="N49" i="20"/>
  <c r="N51" i="20" s="1"/>
  <c r="N59" i="20" l="1"/>
  <c r="N61" i="20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F13" authorId="0" shapeId="0" xr:uid="{95D7DF37-CBCF-4B09-B119-D32B11007317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AVG Q2 &amp; Q3 2023</t>
        </r>
      </text>
    </comment>
    <comment ref="F14" authorId="0" shapeId="0" xr:uid="{85238E46-5252-4E79-9039-7575BBD75B74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Q4 2022</t>
        </r>
      </text>
    </comment>
    <comment ref="F15" authorId="0" shapeId="0" xr:uid="{F36E9EF0-F8B1-42F4-B1C8-08D992496FAB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Q1 2023</t>
        </r>
      </text>
    </comment>
    <comment ref="F21" authorId="0" shapeId="0" xr:uid="{BF7E0729-F252-4786-901A-99A45D88C16A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AVG Q2 &amp; Q3 2023</t>
        </r>
      </text>
    </comment>
    <comment ref="F22" authorId="0" shapeId="0" xr:uid="{A0354BAD-87D5-4129-A413-CAF8BD867CC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Q4 2022</t>
        </r>
      </text>
    </comment>
    <comment ref="F23" authorId="0" shapeId="0" xr:uid="{EDFCDBED-83AC-4A30-9C6B-4FB5B23915B3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Q1 2023</t>
        </r>
      </text>
    </comment>
    <comment ref="F29" authorId="0" shapeId="0" xr:uid="{AACAB804-2FAF-4DEE-BCB0-1C0070D1D9A8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AVG Q2 &amp; Q3 2023</t>
        </r>
      </text>
    </comment>
    <comment ref="F30" authorId="0" shapeId="0" xr:uid="{CA681658-0F54-4062-9936-D33D2B89B305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Q4 2022</t>
        </r>
      </text>
    </comment>
    <comment ref="F31" authorId="0" shapeId="0" xr:uid="{797E9575-09FD-47DB-951E-ACD9CC0F6A2D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Q1 2023</t>
        </r>
      </text>
    </comment>
    <comment ref="F37" authorId="0" shapeId="0" xr:uid="{29BD233A-3DA3-47CF-8DEB-61C337310066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AVG Q2 &amp; Q3 2023</t>
        </r>
      </text>
    </comment>
    <comment ref="F38" authorId="0" shapeId="0" xr:uid="{A870F937-88FD-44A4-8977-DE5D80BF6159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Q4 2022</t>
        </r>
      </text>
    </comment>
    <comment ref="F39" authorId="0" shapeId="0" xr:uid="{2837D226-60EC-43E5-B7DC-706241615BE3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Q1 2023</t>
        </r>
      </text>
    </comment>
    <comment ref="F45" authorId="0" shapeId="0" xr:uid="{FF3BC3F3-D654-4EA1-9A4E-488BA0D17464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AVG Q2 &amp; Q3 2023</t>
        </r>
      </text>
    </comment>
    <comment ref="F46" authorId="0" shapeId="0" xr:uid="{86E3B3C0-7B57-40DF-B0FD-765850670682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Q4 2022</t>
        </r>
      </text>
    </comment>
    <comment ref="F47" authorId="0" shapeId="0" xr:uid="{7C0E9743-DF9C-403E-84D3-90B15BBEAF4F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Q1 2023</t>
        </r>
      </text>
    </comment>
    <comment ref="F53" authorId="0" shapeId="0" xr:uid="{F6056CC8-84F9-41CD-BFB8-507AF017D3D4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AVG Q2 &amp; Q3 2023</t>
        </r>
      </text>
    </comment>
    <comment ref="F54" authorId="0" shapeId="0" xr:uid="{074D0FE6-A812-4491-B704-A4A7DA234E5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Q4 2022</t>
        </r>
      </text>
    </comment>
    <comment ref="F55" authorId="0" shapeId="0" xr:uid="{62F9CE03-BB1C-44E3-82F8-88339FC7EB9D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Q1 2023</t>
        </r>
      </text>
    </comment>
    <comment ref="F61" authorId="0" shapeId="0" xr:uid="{436F2276-06A9-4D71-B2B4-7C4CBDB2891D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AVG Q2 &amp; Q3 2023</t>
        </r>
      </text>
    </comment>
    <comment ref="F62" authorId="0" shapeId="0" xr:uid="{7B872F9C-7F96-4F04-814E-80906BC99EDC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Q4 2022</t>
        </r>
      </text>
    </comment>
    <comment ref="F63" authorId="0" shapeId="0" xr:uid="{8032058B-2158-4DF7-B968-A2A92A952AB1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Q1 2023</t>
        </r>
      </text>
    </comment>
    <comment ref="F69" authorId="0" shapeId="0" xr:uid="{0D308753-2E28-46A5-8AA9-7295B65B4CFF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AVG Q2 &amp; Q3 2023</t>
        </r>
      </text>
    </comment>
    <comment ref="F70" authorId="0" shapeId="0" xr:uid="{A0A64098-0149-4CBC-B8BC-442FCE35CBE9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Q4 2022</t>
        </r>
      </text>
    </comment>
    <comment ref="F71" authorId="0" shapeId="0" xr:uid="{94288B40-2BDD-4BDB-87C6-A5F6F22D9142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Q1 2023</t>
        </r>
      </text>
    </comment>
    <comment ref="F77" authorId="0" shapeId="0" xr:uid="{7633B73A-8FF2-4612-B80F-D797CAF0FECC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AVG Q2 &amp; Q3 2023</t>
        </r>
      </text>
    </comment>
    <comment ref="F78" authorId="0" shapeId="0" xr:uid="{87FE73A9-FEF7-4772-AB81-D47B22D65AC3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Q4 2022</t>
        </r>
      </text>
    </comment>
    <comment ref="F79" authorId="0" shapeId="0" xr:uid="{D19C6AB1-04D4-42AB-B6EC-A9972E6289F6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Q1 2023</t>
        </r>
      </text>
    </comment>
    <comment ref="F85" authorId="0" shapeId="0" xr:uid="{A258C22B-9543-4594-9640-D983013EDCBD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AVG Q2 &amp; Q3 2023</t>
        </r>
      </text>
    </comment>
    <comment ref="F86" authorId="0" shapeId="0" xr:uid="{818416EB-CB80-4B70-8718-422FD02F02FE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Q4 2022</t>
        </r>
      </text>
    </comment>
    <comment ref="F87" authorId="0" shapeId="0" xr:uid="{BB013050-13E7-494A-ACFE-7F757426F393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Q1 2023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<sst xmlns="http://schemas.openxmlformats.org/spreadsheetml/2006/main" count="1399" uniqueCount="493">
  <si>
    <t>All rights Reserved by Valentino Magniette-Bosseboeuf</t>
  </si>
  <si>
    <t>© 2024</t>
  </si>
  <si>
    <t>Version:</t>
  </si>
  <si>
    <t>Due Diligence from the user is still required as the model can be wrong</t>
  </si>
  <si>
    <t>Main Information</t>
  </si>
  <si>
    <t>Stock Information Override</t>
  </si>
  <si>
    <t>Yes</t>
  </si>
  <si>
    <t>Official Name</t>
  </si>
  <si>
    <t>Share Price</t>
  </si>
  <si>
    <t>Ticker</t>
  </si>
  <si>
    <t>Outstanding Shares</t>
  </si>
  <si>
    <t>Currency</t>
  </si>
  <si>
    <t>Beta</t>
  </si>
  <si>
    <t>Valuation Date if not today</t>
  </si>
  <si>
    <t>Tax Rate</t>
  </si>
  <si>
    <t>Master Check</t>
  </si>
  <si>
    <t>Division 1 Name</t>
  </si>
  <si>
    <t>Division 6 Name</t>
  </si>
  <si>
    <t>Division 2 Name</t>
  </si>
  <si>
    <t>Division 7 Name</t>
  </si>
  <si>
    <t>DCF</t>
  </si>
  <si>
    <t>NWC Schedule</t>
  </si>
  <si>
    <t>Division 3 Name</t>
  </si>
  <si>
    <t>Division 8 Name</t>
  </si>
  <si>
    <t>Revenue Build</t>
  </si>
  <si>
    <t>D&amp;A Schedule</t>
  </si>
  <si>
    <t>Division 4 Name</t>
  </si>
  <si>
    <t>Division 9 Name</t>
  </si>
  <si>
    <t>Operating Model</t>
  </si>
  <si>
    <t>Debt Schedule</t>
  </si>
  <si>
    <t>Division 5 Name</t>
  </si>
  <si>
    <t>Division 10 Name</t>
  </si>
  <si>
    <t>Main Assumptions</t>
  </si>
  <si>
    <t>Terminal EBITDA Multiple</t>
  </si>
  <si>
    <t>Equity Premium</t>
  </si>
  <si>
    <t>Perpetual Growth Rate</t>
  </si>
  <si>
    <t>Risk Free Rate</t>
  </si>
  <si>
    <t>Debt Schedule Set Up</t>
  </si>
  <si>
    <t>(Necessary)</t>
  </si>
  <si>
    <t>Does the company have detailed debts?</t>
  </si>
  <si>
    <t>Do they have bonds?</t>
  </si>
  <si>
    <t>Bank loans?</t>
  </si>
  <si>
    <t>Main Overrides</t>
  </si>
  <si>
    <t>Revenue CAGR Overrides</t>
  </si>
  <si>
    <t>(Leave blank for no override)</t>
  </si>
  <si>
    <t>WACC Override</t>
  </si>
  <si>
    <t>WACC</t>
  </si>
  <si>
    <t>Terminal Year WACC</t>
  </si>
  <si>
    <t>Checklist</t>
  </si>
  <si>
    <t>Revenue Build Checklist</t>
  </si>
  <si>
    <t>Operating Model Checklist</t>
  </si>
  <si>
    <t>DCF Checklist</t>
  </si>
  <si>
    <t>CapEx</t>
  </si>
  <si>
    <t>Balance Sheet Checklist</t>
  </si>
  <si>
    <t>In Net Working Capital</t>
  </si>
  <si>
    <t>(AKA Currents)</t>
  </si>
  <si>
    <t>In Depreciation Schedule</t>
  </si>
  <si>
    <t>(AKA Assets)</t>
  </si>
  <si>
    <t>In Debt Schedule</t>
  </si>
  <si>
    <t>(AKA Debts)</t>
  </si>
  <si>
    <t>Main Schedule Balance</t>
  </si>
  <si>
    <t>Bonds</t>
  </si>
  <si>
    <t>Loans</t>
  </si>
  <si>
    <t>Debt Repayments</t>
  </si>
  <si>
    <t>Cash From Debts</t>
  </si>
  <si>
    <t>Dashboard</t>
  </si>
  <si>
    <t>Enable Master Override?</t>
  </si>
  <si>
    <t>No</t>
  </si>
  <si>
    <t>5-Year Average Inflation Rate</t>
  </si>
  <si>
    <t>PGG</t>
  </si>
  <si>
    <t>Outstanding shares</t>
  </si>
  <si>
    <t>EBITDA Exit Multiple</t>
  </si>
  <si>
    <t>Share price at Valuation</t>
  </si>
  <si>
    <t>Discounted Cash Flow Analysis</t>
  </si>
  <si>
    <t>Fiscal Year Ending December 31</t>
  </si>
  <si>
    <t>Assumptions &amp; Inputs</t>
  </si>
  <si>
    <t>Valuation Date</t>
  </si>
  <si>
    <t>Latest Yearly EBITDA</t>
  </si>
  <si>
    <t>Latest Fiscal Year Date</t>
  </si>
  <si>
    <t>Share Price at Valuation</t>
  </si>
  <si>
    <t>Actuals</t>
  </si>
  <si>
    <t>Forecast</t>
  </si>
  <si>
    <t>Discounted Cash Flow</t>
  </si>
  <si>
    <t>Revenue</t>
  </si>
  <si>
    <t>YoY Growth</t>
  </si>
  <si>
    <t>-</t>
  </si>
  <si>
    <t>%Margin</t>
  </si>
  <si>
    <t>Adj. EBIT</t>
  </si>
  <si>
    <t>Income Taxes</t>
  </si>
  <si>
    <t>Adj. Unlevered Net Income</t>
  </si>
  <si>
    <t>ADD: D&amp;A -Other</t>
  </si>
  <si>
    <t>LESS: CapEx</t>
  </si>
  <si>
    <r>
      <t xml:space="preserve">LESS: </t>
    </r>
    <r>
      <rPr>
        <sz val="11"/>
        <color theme="1"/>
        <rFont val="Calibri"/>
        <family val="2"/>
        <scheme val="minor"/>
      </rPr>
      <t>Δ</t>
    </r>
    <r>
      <rPr>
        <sz val="9"/>
        <color theme="1"/>
        <rFont val="Calibri"/>
        <family val="2"/>
        <scheme val="minor"/>
      </rPr>
      <t>NWC</t>
    </r>
  </si>
  <si>
    <t>Unlevered Free Cash Flow</t>
  </si>
  <si>
    <t>Valuation Timing Factor</t>
  </si>
  <si>
    <t>Discount Rate</t>
  </si>
  <si>
    <t>PV of Unlevered Free Cash Flow</t>
  </si>
  <si>
    <t>Exit Multiple Sensitivities</t>
  </si>
  <si>
    <t>SUM of PV of Unlevered FCF</t>
  </si>
  <si>
    <t>Implied Equity Value</t>
  </si>
  <si>
    <t>Implied Share Price - Exit Multiple</t>
  </si>
  <si>
    <t>Exit Multiple</t>
  </si>
  <si>
    <t>Terminal Value</t>
  </si>
  <si>
    <t>PV of Terminal Value</t>
  </si>
  <si>
    <t>Terminal</t>
  </si>
  <si>
    <t>Implied Enterprise Value</t>
  </si>
  <si>
    <t>Multiple</t>
  </si>
  <si>
    <t>LESS: Debt</t>
  </si>
  <si>
    <t>(x)</t>
  </si>
  <si>
    <t>ADD: Cash</t>
  </si>
  <si>
    <t>F.D. Share O/S</t>
  </si>
  <si>
    <t>Implied Equity Value Change</t>
  </si>
  <si>
    <t>Implied Share Value</t>
  </si>
  <si>
    <t>Implied Upside/(Downside)</t>
  </si>
  <si>
    <t>Implied Share Price - PGG</t>
  </si>
  <si>
    <t>Sum of PV of Unlevered FCF</t>
  </si>
  <si>
    <t>Perpetual Growth Rate Sensitivities</t>
  </si>
  <si>
    <t>Perpetual</t>
  </si>
  <si>
    <t xml:space="preserve">Growth </t>
  </si>
  <si>
    <t>Rate</t>
  </si>
  <si>
    <t>Global Revenue</t>
  </si>
  <si>
    <t>Division 1</t>
  </si>
  <si>
    <t>Division 2</t>
  </si>
  <si>
    <t>Division 3</t>
  </si>
  <si>
    <t>Division 4</t>
  </si>
  <si>
    <t>Division 5</t>
  </si>
  <si>
    <t>Division 6</t>
  </si>
  <si>
    <t>Division 7</t>
  </si>
  <si>
    <t>Division 8</t>
  </si>
  <si>
    <t>Division 9</t>
  </si>
  <si>
    <t>Division 10</t>
  </si>
  <si>
    <t>Cost of Goods Sold</t>
  </si>
  <si>
    <t>Fixed Expenses</t>
  </si>
  <si>
    <t>SG&amp;A</t>
  </si>
  <si>
    <t>Other Fixed Costs</t>
  </si>
  <si>
    <t>Global EBITDA</t>
  </si>
  <si>
    <t>Depreciation &amp; Amortisation</t>
  </si>
  <si>
    <t>Depreciation</t>
  </si>
  <si>
    <t>Amortisation</t>
  </si>
  <si>
    <t>D&amp;A</t>
  </si>
  <si>
    <t>Global EBIT</t>
  </si>
  <si>
    <t>Interest Expenses</t>
  </si>
  <si>
    <t>Global EBT</t>
  </si>
  <si>
    <t>Taxes</t>
  </si>
  <si>
    <t>Global Net Income</t>
  </si>
  <si>
    <t>WACC Calculator</t>
  </si>
  <si>
    <t>Calc WACC</t>
  </si>
  <si>
    <t>Market Cap</t>
  </si>
  <si>
    <t>Market Value of Debt</t>
  </si>
  <si>
    <t>Cost of Capital</t>
  </si>
  <si>
    <t>Cost of Equity</t>
  </si>
  <si>
    <t>Equity Risk Premium</t>
  </si>
  <si>
    <t>Cost of Debt</t>
  </si>
  <si>
    <t>Total Debt</t>
  </si>
  <si>
    <t>Change in Net Working Capital</t>
  </si>
  <si>
    <t>Cash</t>
  </si>
  <si>
    <t>Account Receivable</t>
  </si>
  <si>
    <t>DSO Ratio</t>
  </si>
  <si>
    <t>Inventory</t>
  </si>
  <si>
    <t>DIH Ratio</t>
  </si>
  <si>
    <t>Other Current Assets</t>
  </si>
  <si>
    <t>% of Revenue</t>
  </si>
  <si>
    <t>Accounts Payable</t>
  </si>
  <si>
    <t>DPO Ratio</t>
  </si>
  <si>
    <t>Other Liabilities excluding debts</t>
  </si>
  <si>
    <t>LT Debt principal into Current Debt</t>
  </si>
  <si>
    <t>NWC</t>
  </si>
  <si>
    <t>ΔNWC</t>
  </si>
  <si>
    <t> </t>
  </si>
  <si>
    <t>Scenario Manager</t>
  </si>
  <si>
    <t>Scenario Chooser</t>
  </si>
  <si>
    <t>Case 1</t>
  </si>
  <si>
    <t>Case 2</t>
  </si>
  <si>
    <t>Case 3</t>
  </si>
  <si>
    <t>Case 4</t>
  </si>
  <si>
    <t>Case 5</t>
  </si>
  <si>
    <t>Case 6</t>
  </si>
  <si>
    <t>Case 7</t>
  </si>
  <si>
    <t>Case 8</t>
  </si>
  <si>
    <t>Case 9</t>
  </si>
  <si>
    <t>Case 10</t>
  </si>
  <si>
    <t>Base</t>
  </si>
  <si>
    <t>Bull</t>
  </si>
  <si>
    <t>Bear</t>
  </si>
  <si>
    <t>[Case 4]</t>
  </si>
  <si>
    <t>[Case 5]</t>
  </si>
  <si>
    <t>[Case 6]</t>
  </si>
  <si>
    <t>[Case 7]</t>
  </si>
  <si>
    <t>[Case 8]</t>
  </si>
  <si>
    <t>[Case 9]</t>
  </si>
  <si>
    <t>[Case 10]</t>
  </si>
  <si>
    <t>1. Company Details</t>
  </si>
  <si>
    <t>Company</t>
  </si>
  <si>
    <t>Location</t>
  </si>
  <si>
    <t>2. CAGR Change Control</t>
  </si>
  <si>
    <t>CAGR positive for division</t>
  </si>
  <si>
    <t>CAGR negative for division</t>
  </si>
  <si>
    <t>Division revenue</t>
  </si>
  <si>
    <t>Time Series</t>
  </si>
  <si>
    <t>Operating Assumptions</t>
  </si>
  <si>
    <t>Year</t>
  </si>
  <si>
    <t>Chosen Scenario</t>
  </si>
  <si>
    <t>CAGR</t>
  </si>
  <si>
    <t>Override</t>
  </si>
  <si>
    <t>Revenue Segments</t>
  </si>
  <si>
    <t>Total revenue</t>
  </si>
  <si>
    <t>Historicals</t>
  </si>
  <si>
    <t>As % of Revenue</t>
  </si>
  <si>
    <t>D&amp;A, PP&amp;E, CapEx Schedules</t>
  </si>
  <si>
    <t>PP&amp;E</t>
  </si>
  <si>
    <t>PP&amp;E CapEx</t>
  </si>
  <si>
    <t>&amp; of Revenue</t>
  </si>
  <si>
    <t>Useful life (Years)</t>
  </si>
  <si>
    <t>Depreciation Schedule</t>
  </si>
  <si>
    <t>Total Depreciation</t>
  </si>
  <si>
    <t>Intangible assets</t>
  </si>
  <si>
    <t>Amortisation expense</t>
  </si>
  <si>
    <t>Useful Life (Years)</t>
  </si>
  <si>
    <t>Intangible Assets CapEx</t>
  </si>
  <si>
    <t>Total CapEx</t>
  </si>
  <si>
    <t>Total D&amp;A</t>
  </si>
  <si>
    <t>Year Due</t>
  </si>
  <si>
    <t>Yearly Coupon Rate</t>
  </si>
  <si>
    <t>Market Value</t>
  </si>
  <si>
    <t>Interest Rate</t>
  </si>
  <si>
    <t>Estimated Interest Rate?</t>
  </si>
  <si>
    <t>Amount left</t>
  </si>
  <si>
    <t>Main Debt Schedule</t>
  </si>
  <si>
    <t>Interest</t>
  </si>
  <si>
    <t>For both, add if statements to see if calculators disabled or enabled</t>
  </si>
  <si>
    <t>Repayments of Debts</t>
  </si>
  <si>
    <t>Cash from Debt</t>
  </si>
  <si>
    <t>Debt taken here estimated to only be bank loans (no bonds issued)</t>
  </si>
  <si>
    <t>Total Debts</t>
  </si>
  <si>
    <t>IR</t>
  </si>
  <si>
    <t>Amount</t>
  </si>
  <si>
    <t>Years</t>
  </si>
  <si>
    <t>Cash From Debt</t>
  </si>
  <si>
    <t>Total Loans</t>
  </si>
  <si>
    <t>Debt Schedule Backup</t>
  </si>
  <si>
    <t>Revenue Synergy Increase</t>
  </si>
  <si>
    <t>COGS Synergy Decrease</t>
  </si>
  <si>
    <t>FE Synergy Decrease</t>
  </si>
  <si>
    <t>LBO Assumptions</t>
  </si>
  <si>
    <t>DCF Synergy Assumptions</t>
  </si>
  <si>
    <t>Premium Paid</t>
  </si>
  <si>
    <t>Holding Period (Years)</t>
  </si>
  <si>
    <t>Advisory Fee (%EV)</t>
  </si>
  <si>
    <t>Debt Issuance Fee (%EV)</t>
  </si>
  <si>
    <t>Legal &amp; Other Fees</t>
  </si>
  <si>
    <t>Leverage Multiple</t>
  </si>
  <si>
    <t>Interest Rate Premium</t>
  </si>
  <si>
    <t>Premium Paid (%)</t>
  </si>
  <si>
    <t>Transaction Assumptions</t>
  </si>
  <si>
    <t>Current Share price</t>
  </si>
  <si>
    <t>Diluted Share Count</t>
  </si>
  <si>
    <t>Purchase Equity Value</t>
  </si>
  <si>
    <t>Purchase EV</t>
  </si>
  <si>
    <t>EBITDA Purchase Multiple</t>
  </si>
  <si>
    <t>Minimum Cash as % of EBITDA</t>
  </si>
  <si>
    <t>Interest Rate on Issued Debt</t>
  </si>
  <si>
    <t>Total Debt Used</t>
  </si>
  <si>
    <t>Exit Date</t>
  </si>
  <si>
    <t>Minimum Cash as % EBITDA</t>
  </si>
  <si>
    <t>Sources and Uses</t>
  </si>
  <si>
    <t>Uses</t>
  </si>
  <si>
    <t>Sources</t>
  </si>
  <si>
    <t>New Debt Issued</t>
  </si>
  <si>
    <t>Cash on Hand</t>
  </si>
  <si>
    <t>Investor Equity</t>
  </si>
  <si>
    <t>Existing Debt Paydown</t>
  </si>
  <si>
    <t>Transaction Fees</t>
  </si>
  <si>
    <t>Minimum Cash Balance</t>
  </si>
  <si>
    <t>Equity Purchase Price</t>
  </si>
  <si>
    <t>Total Sources</t>
  </si>
  <si>
    <t>Total Uses</t>
  </si>
  <si>
    <t>Actual</t>
  </si>
  <si>
    <t>LESS: Cash</t>
  </si>
  <si>
    <t>ADD: Debt</t>
  </si>
  <si>
    <t>ADD: Beginning Cash Balance</t>
  </si>
  <si>
    <t>LESS: Minimum Cash Balance</t>
  </si>
  <si>
    <t>CF for Debt Service</t>
  </si>
  <si>
    <t>Debt Balance</t>
  </si>
  <si>
    <t>Cash Balance</t>
  </si>
  <si>
    <t>Equity Balance</t>
  </si>
  <si>
    <t>Invested Capital</t>
  </si>
  <si>
    <t>EBI</t>
  </si>
  <si>
    <t>ROIC</t>
  </si>
  <si>
    <t>EBITDA</t>
  </si>
  <si>
    <t>Exit Enterprise Value</t>
  </si>
  <si>
    <t>Exit Equity Value</t>
  </si>
  <si>
    <t>Exit Year</t>
  </si>
  <si>
    <t>MOIC</t>
  </si>
  <si>
    <t>IRR</t>
  </si>
  <si>
    <t>Leverage Buyout Model</t>
  </si>
  <si>
    <t>LBO and Merger Optional Parts</t>
  </si>
  <si>
    <t>Discounted Cash Flow Analysis (With Synergies)</t>
  </si>
  <si>
    <t>General Information</t>
  </si>
  <si>
    <t>Transaction Costs</t>
  </si>
  <si>
    <t>Target leverage</t>
  </si>
  <si>
    <t>All-In Interest Rate</t>
  </si>
  <si>
    <t>Purchase Price</t>
  </si>
  <si>
    <t>Take-Out Price</t>
  </si>
  <si>
    <t>Shares Outstanding</t>
  </si>
  <si>
    <t>Take-Out Equity Value</t>
  </si>
  <si>
    <t>Debt</t>
  </si>
  <si>
    <t>Take-Out Enterprise Value</t>
  </si>
  <si>
    <t>Take-Out EV/LTM EBITDA</t>
  </si>
  <si>
    <t>Premium</t>
  </si>
  <si>
    <t>Combined Debt Capacity</t>
  </si>
  <si>
    <t>Pro Forma EBITDA</t>
  </si>
  <si>
    <t>Maximum Leverage</t>
  </si>
  <si>
    <t>Total Net Debt Capacity</t>
  </si>
  <si>
    <t>Combined Debt</t>
  </si>
  <si>
    <t>Maximum External Debt Capacity</t>
  </si>
  <si>
    <t>New Debt</t>
  </si>
  <si>
    <t>% of Total Cash</t>
  </si>
  <si>
    <t>Stock Exchange</t>
  </si>
  <si>
    <t>Total Share Consideration</t>
  </si>
  <si>
    <t>Total Cash Consideration</t>
  </si>
  <si>
    <t>Offer Price</t>
  </si>
  <si>
    <t>Exchange Ratio</t>
  </si>
  <si>
    <t>Actual Exchange Ratio</t>
  </si>
  <si>
    <t>Accretion/Dilution</t>
  </si>
  <si>
    <t>Acquirer Net Income</t>
  </si>
  <si>
    <t>Synergies</t>
  </si>
  <si>
    <t>Integration Costs</t>
  </si>
  <si>
    <t>Increased Interest Expense</t>
  </si>
  <si>
    <t>Incremental EBT</t>
  </si>
  <si>
    <t>Incremental Net Income</t>
  </si>
  <si>
    <t>Pro Forma Net Income</t>
  </si>
  <si>
    <t>Pro Forma Acquirer Diluted S/O</t>
  </si>
  <si>
    <t>Pro Forma EPS</t>
  </si>
  <si>
    <t>Pro Forma Balance Sheet (Excluding Synergies)</t>
  </si>
  <si>
    <t>Net Debt/EBITDA</t>
  </si>
  <si>
    <t>Acquirer</t>
  </si>
  <si>
    <t>Adj.</t>
  </si>
  <si>
    <t>Accretion/(Dilution) - $</t>
  </si>
  <si>
    <t>Accretion/(Dilution) - %</t>
  </si>
  <si>
    <t>Take</t>
  </si>
  <si>
    <t>Out</t>
  </si>
  <si>
    <t>Price</t>
  </si>
  <si>
    <t>PF</t>
  </si>
  <si>
    <t>Acquirer Name</t>
  </si>
  <si>
    <t>Merger Assumptions</t>
  </si>
  <si>
    <t>Target Leverage</t>
  </si>
  <si>
    <t>If TY WACC same as WACC, do not override TY WACC</t>
  </si>
  <si>
    <t>DCF, LBO and M&amp;A model</t>
  </si>
  <si>
    <t>Research and Development</t>
  </si>
  <si>
    <t>(19th May 2024)</t>
  </si>
  <si>
    <t>0.0.2</t>
  </si>
  <si>
    <t>IS_SG&amp;A_EXPENSE</t>
  </si>
  <si>
    <t>IS_INT_EXPENSE</t>
  </si>
  <si>
    <t>-1FY</t>
  </si>
  <si>
    <t>-0FY</t>
  </si>
  <si>
    <t>-2FY</t>
  </si>
  <si>
    <t>-3FY</t>
  </si>
  <si>
    <t>-4FY</t>
  </si>
  <si>
    <t>C&amp;CE_AND_STI_DETAILED</t>
  </si>
  <si>
    <t>-5FY</t>
  </si>
  <si>
    <t>BS_ACCT_NOTE_RCV</t>
  </si>
  <si>
    <t>BS_INVENTORIES</t>
  </si>
  <si>
    <t>OTHER_CURRENT_ASSETS_DETAILED</t>
  </si>
  <si>
    <t>ACCT_PAYABLE_&amp;_ACCRUALS_DETAILED</t>
  </si>
  <si>
    <t>OTHER_CURRENT_LIABS_SUB_DETAILED</t>
  </si>
  <si>
    <t>CF_PROC_LT_DEBT_&amp;_CAPITAL_LEASE</t>
  </si>
  <si>
    <t>CF_PYMT_LT_DEBT_&amp;_CAPITAL_LEASE</t>
  </si>
  <si>
    <t>BS_LT_BORROW</t>
  </si>
  <si>
    <t>Bloomberg Ticker</t>
  </si>
  <si>
    <t>ACQUIS_FXD_&amp;_INTANG_DETAILED</t>
  </si>
  <si>
    <t>CF_DEPR_AMORT</t>
  </si>
  <si>
    <t>IS_OPEX_R&amp;D</t>
  </si>
  <si>
    <t>IS_OTHER_OPERATING_EXPENSES_GAAP</t>
  </si>
  <si>
    <t>R&amp;D</t>
  </si>
  <si>
    <t>Bond Names</t>
  </si>
  <si>
    <t>IS_DEPR_EXP</t>
  </si>
  <si>
    <t>OTHER_INTANGIBLE_ASSETS_DETAILED</t>
  </si>
  <si>
    <t>Levels</t>
  </si>
  <si>
    <t>_DM|LnkdItm|_bdm.ea3f447f8b5b4fffb0167a29dfb6d531.edm|_bdm.a4e6267072534357bb87a35dcb514114.edm</t>
  </si>
  <si>
    <t>Principal Issued</t>
  </si>
  <si>
    <t>Principal Outstanding</t>
  </si>
  <si>
    <t>Outstanding Market Value</t>
  </si>
  <si>
    <t>Use Bloomberg stock information tool?</t>
  </si>
  <si>
    <t>Outlier Checker</t>
  </si>
  <si>
    <t>Other Debts</t>
  </si>
  <si>
    <t>Competitors</t>
  </si>
  <si>
    <t>Name</t>
  </si>
  <si>
    <t>Share price</t>
  </si>
  <si>
    <t>Net Income</t>
  </si>
  <si>
    <t>EV/EBITDA</t>
  </si>
  <si>
    <t>D/E</t>
  </si>
  <si>
    <t>P/E</t>
  </si>
  <si>
    <t>Average</t>
  </si>
  <si>
    <t>Median</t>
  </si>
  <si>
    <t>Enterprise Value</t>
  </si>
  <si>
    <t>Inflation Rate</t>
  </si>
  <si>
    <t>EV/Sales</t>
  </si>
  <si>
    <t>Terminal EV/SALES (Backup)</t>
  </si>
  <si>
    <t>IS_AMORTIZATION_EXPENSE</t>
  </si>
  <si>
    <t>#N/A N/A</t>
  </si>
  <si>
    <t>Pre-emptive</t>
  </si>
  <si>
    <t>Final</t>
  </si>
  <si>
    <t>Deprecitation</t>
  </si>
  <si>
    <t>Amortization</t>
  </si>
  <si>
    <t>Adjusted Principal Outstanding</t>
  </si>
  <si>
    <t>Adj. EBITDA</t>
  </si>
  <si>
    <t>ARDR_PROPERTY_PLANT_EQUIP_NET</t>
  </si>
  <si>
    <t>COGS Adjustments</t>
  </si>
  <si>
    <t>Cost of Products Sold</t>
  </si>
  <si>
    <t>ARD_COST_OF_PRODUCTS_SOLD</t>
  </si>
  <si>
    <t>ARD_COST_OF_SERVICES</t>
  </si>
  <si>
    <t>ARDR_OTH_ADJ_NON_GAAP_COGS</t>
  </si>
  <si>
    <t>Cost of Revenue Adjustments</t>
  </si>
  <si>
    <t>Adjusted Cost of Revenue</t>
  </si>
  <si>
    <t>Global Gross Profit</t>
  </si>
  <si>
    <t>Cost of Revenue</t>
  </si>
  <si>
    <t>Other Operating Income</t>
  </si>
  <si>
    <t>Total Other Operating Income</t>
  </si>
  <si>
    <t>IS_OTHER_OPER_INC</t>
  </si>
  <si>
    <t>Capitalised Operating Lease</t>
  </si>
  <si>
    <t>Rental Expense</t>
  </si>
  <si>
    <t>Variable Lease Cost</t>
  </si>
  <si>
    <t>Total Capitalised Operating Lease</t>
  </si>
  <si>
    <t>BS_CURR_RENTAL_EXPENSE</t>
  </si>
  <si>
    <t>Other Investment (Income) Loss</t>
  </si>
  <si>
    <t>FOREX (Gains) Losses</t>
  </si>
  <si>
    <t>Other Non-Operating (Income) Loss</t>
  </si>
  <si>
    <t>IS_OTHER_INVESTMENT_INCOME_LOSS</t>
  </si>
  <si>
    <t>IS_FOREIGN_EXCH_LOSS</t>
  </si>
  <si>
    <t>IS_OTHER_NON_OPERATING_INC_LOSS</t>
  </si>
  <si>
    <t>Other Non-Operating Expenses</t>
  </si>
  <si>
    <t>Total Other Non-Operating Expenses</t>
  </si>
  <si>
    <t>Income Tax Expenses</t>
  </si>
  <si>
    <t>Current Income Taxes</t>
  </si>
  <si>
    <t>Deferred Income Taxes</t>
  </si>
  <si>
    <t>Tax Effect On Abnormal Items</t>
  </si>
  <si>
    <t>Total Income Tax Expenses</t>
  </si>
  <si>
    <t>IS_CURRENT_INCOME_TAX_BENEFIT</t>
  </si>
  <si>
    <t>IS_TAX_EFF_ON_ABNORMAL_ITEM</t>
  </si>
  <si>
    <t>IS_DEFERRED_INCOME_TAX_BENEFIT</t>
  </si>
  <si>
    <t>IS_VARIABLE_LEASE_COST</t>
  </si>
  <si>
    <t>Non-Controlling Interest (Credit)</t>
  </si>
  <si>
    <t>MIN_NONCONTROL_INTEREST_CREDITS</t>
  </si>
  <si>
    <t>Preferred Dividends</t>
  </si>
  <si>
    <t>Other Adjustments</t>
  </si>
  <si>
    <t>Total Final Adjustments</t>
  </si>
  <si>
    <t>Global Net Income to Commons</t>
  </si>
  <si>
    <t>IS_TOT_CASH_PFD_DVD</t>
  </si>
  <si>
    <t>OTHER_ADJUSTMENTS</t>
  </si>
  <si>
    <t>Cost of Services Sold</t>
  </si>
  <si>
    <t>ARD_COST_OF_GOODS_SOLD</t>
  </si>
  <si>
    <t>Cost of Goods Sold (Backup)</t>
  </si>
  <si>
    <t>COGS (Backup)</t>
  </si>
  <si>
    <t>Cost of Financing Revenue</t>
  </si>
  <si>
    <t>ARD_FINANCE_SUBSIDIARY_INT_EXP</t>
  </si>
  <si>
    <t>Interest Income</t>
  </si>
  <si>
    <t>IS_INT_INC</t>
  </si>
  <si>
    <t>Net Interest Expenses</t>
  </si>
  <si>
    <t>D&amp;A Expense</t>
  </si>
  <si>
    <t>IS_DEPRECIATION_AND_AMORTIZATION</t>
  </si>
  <si>
    <t>IS_EQY_EARN_FROM_INVEST_ASSOC</t>
  </si>
  <si>
    <t>Loss (Income) From Affiliates</t>
  </si>
  <si>
    <t>Restructuring/Workflow Balance</t>
  </si>
  <si>
    <t>ARDR_RSTRCT_WF_BAL_NON_GAAP_COGS</t>
  </si>
  <si>
    <t>Restructuring/Workflow</t>
  </si>
  <si>
    <t>Buyer Bloomberg Ticker</t>
  </si>
  <si>
    <t>GE US EQUITY</t>
  </si>
  <si>
    <t>After-Tax (Income) Loss From Affiliates</t>
  </si>
  <si>
    <t>IS_SH_PRO_EQY_MT_INV_NET_OF_TAX</t>
  </si>
  <si>
    <t>Other Costs of Revenue</t>
  </si>
  <si>
    <t>ARD_OTHER_COST_OF_REVENUES</t>
  </si>
  <si>
    <t>Other Costs Revenue</t>
  </si>
  <si>
    <t>not included for cash flow in filings</t>
  </si>
  <si>
    <t>CZR US EQUITY</t>
  </si>
  <si>
    <t>Hotel</t>
  </si>
  <si>
    <t>Food &amp; Beverage</t>
  </si>
  <si>
    <t>Other</t>
  </si>
  <si>
    <t>BYD US</t>
  </si>
  <si>
    <t>PENN US</t>
  </si>
  <si>
    <t>WYNN US</t>
  </si>
  <si>
    <t>MGM US</t>
  </si>
  <si>
    <t>CHDN US</t>
  </si>
  <si>
    <t>RRR US</t>
  </si>
  <si>
    <t>GDEN US</t>
  </si>
  <si>
    <t>RSI US</t>
  </si>
  <si>
    <t>MCRI US</t>
  </si>
  <si>
    <t>LNW US</t>
  </si>
  <si>
    <t>DKNG US</t>
  </si>
  <si>
    <t>BR401813 Corp</t>
  </si>
  <si>
    <t>BK128425 Corp</t>
  </si>
  <si>
    <t>ZF564137 Corp</t>
  </si>
  <si>
    <t>ZM601307 Corp</t>
  </si>
  <si>
    <t>BALY 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</si>
</sst>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0">
    <numFmt numFmtId="43" formatCode="_(* #,##0.00_);_(* \(#,##0.00\);_(* &quot;-&quot;??_);_(@_)"/>
    <numFmt numFmtId="164" formatCode="_-&quot;£&quot;* #,##0.00_-;\-&quot;£&quot;* #,##0.00_-;_-&quot;£&quot;* &quot;-&quot;??_-;_-@_-"/>
    <numFmt numFmtId="165" formatCode="&quot;FY&quot;General&quot;A&quot;"/>
    <numFmt numFmtId="166" formatCode="[$-409]dd\-mmm\-yy"/>
    <numFmt numFmtId="167" formatCode="&quot;FY&quot;General&quot;E&quot;"/>
    <numFmt numFmtId="168" formatCode="0\x"/>
    <numFmt numFmtId="169" formatCode="_-[$$-409]* #,##0.00_ ;_-[$$-409]* \-#,##0.00\ ;_-[$$-409]* &quot;-&quot;??_ ;_-@_ "/>
    <numFmt numFmtId="170" formatCode="0.00\x"/>
    <numFmt numFmtId="171" formatCode="yyyy\-mm\-dd"/>
    <numFmt numFmtId="172" formatCode="0.0%"/>
    <numFmt numFmtId="173" formatCode="#,##0.0;[Red]#,##0.0"/>
    <numFmt numFmtId="174" formatCode="_([$$-409]* #,##0.00_);_([$$-409]* \(#,##0.00\);_([$$-409]* &quot;-&quot;??_);_(@_)"/>
    <numFmt numFmtId="175" formatCode="General\ &quot;Years&quot;"/>
    <numFmt numFmtId="176" formatCode="0_);\(0\)"/>
    <numFmt numFmtId="177" formatCode="_-[$$-1009]* #,##0.00_-;\-[$$-1009]* #,##0.00_-;_-[$$-1009]* &quot;-&quot;??_-;_-@_-"/>
    <numFmt numFmtId="178" formatCode="0.000%"/>
    <numFmt numFmtId="179" formatCode="_(* #,##0.0_);_(* \(#,##0.0\);_(* &quot;-&quot;??_);_(@_)"/>
    <numFmt numFmtId="180" formatCode="_(* #,##0.0_);_(* \(#,##0.0\);_(* &quot;-&quot;?_);_(@_)"/>
    <numFmt numFmtId="181" formatCode="0.00000"/>
    <numFmt numFmtId="182" formatCode="_(* #,##0_);_(* \(#,##0\);_(* &quot;-&quot;??_);_(@_)"/>
  </numFmts>
  <fonts count="3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10"/>
      <color rgb="FF0000FF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1"/>
      <color rgb="FFFCF7F0"/>
      <name val="Calibri"/>
      <family val="2"/>
      <scheme val="minor"/>
    </font>
    <font>
      <sz val="11"/>
      <color rgb="FF002140"/>
      <name val="Calibri"/>
      <family val="2"/>
      <scheme val="minor"/>
    </font>
    <font>
      <sz val="11"/>
      <color rgb="FFFFFFFF"/>
      <name val="Calibri"/>
      <family val="2"/>
      <scheme val="minor"/>
    </font>
    <font>
      <b/>
      <sz val="11"/>
      <color rgb="FF00214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1"/>
      <color rgb="FF0000FF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i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1"/>
      <color rgb="FF0000FF"/>
      <name val="Calibri"/>
      <family val="2"/>
      <scheme val="minor"/>
    </font>
    <font>
      <b/>
      <sz val="11"/>
      <color rgb="FF595959"/>
      <name val="Calibri"/>
      <family val="2"/>
      <scheme val="minor"/>
    </font>
    <font>
      <sz val="11"/>
      <color rgb="FF000000"/>
      <name val="Calibri"/>
      <family val="2"/>
      <scheme val="minor"/>
    </font>
    <font>
      <i/>
      <sz val="11"/>
      <name val="Calibri"/>
      <family val="2"/>
      <scheme val="minor"/>
    </font>
    <font>
      <sz val="8"/>
      <name val="Calibri"/>
      <family val="2"/>
      <scheme val="minor"/>
    </font>
    <font>
      <b/>
      <sz val="11"/>
      <color rgb="FFFF0000"/>
      <name val="Calibri"/>
      <family val="2"/>
      <scheme val="minor"/>
    </font>
    <font>
      <u/>
      <sz val="11"/>
      <color theme="1"/>
      <name val="Calibri"/>
      <family val="2"/>
      <scheme val="minor"/>
    </font>
    <font>
      <i/>
      <sz val="11"/>
      <color rgb="FF0000FF"/>
      <name val="Calibri"/>
      <family val="2"/>
      <scheme val="minor"/>
    </font>
    <font>
      <sz val="11"/>
      <color rgb="FF000000"/>
      <name val="Calibri"/>
      <family val="2"/>
    </font>
    <font>
      <sz val="11"/>
      <color rgb="FFFF0000"/>
      <name val="Calibri"/>
      <family val="2"/>
      <scheme val="minor"/>
    </font>
    <font>
      <sz val="11"/>
      <color rgb="FFDB8922"/>
      <name val="Consolas"/>
      <family val="3"/>
    </font>
    <font>
      <sz val="11"/>
      <color rgb="FF008000"/>
      <name val="Calibri"/>
      <family val="2"/>
      <scheme val="minor"/>
    </font>
  </fonts>
  <fills count="22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324D"/>
        <bgColor rgb="FF00324D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1"/>
        <bgColor theme="1"/>
      </patternFill>
    </fill>
    <fill>
      <patternFill patternType="solid">
        <fgColor rgb="FFD9D9D9"/>
        <bgColor rgb="FFD9D9D9"/>
      </patternFill>
    </fill>
    <fill>
      <patternFill patternType="solid">
        <fgColor rgb="FFF2F2F2"/>
        <bgColor rgb="FFF2F2F2"/>
      </patternFill>
    </fill>
    <fill>
      <patternFill patternType="solid">
        <fgColor rgb="FFDEEAF6"/>
        <bgColor rgb="FFDEEAF6"/>
      </patternFill>
    </fill>
    <fill>
      <patternFill patternType="solid">
        <fgColor rgb="FFFAFFCC"/>
        <bgColor rgb="FFFAFFCC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002060"/>
        <bgColor rgb="FF1F38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AFFCC"/>
        <bgColor indexed="64"/>
      </patternFill>
    </fill>
    <fill>
      <patternFill patternType="solid">
        <fgColor rgb="FFBFBFBF"/>
        <bgColor indexed="64"/>
      </patternFill>
    </fill>
  </fills>
  <borders count="38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thin">
        <color indexed="64"/>
      </top>
      <bottom/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thin">
        <color indexed="64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/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hair">
        <color rgb="FF000000"/>
      </left>
      <right/>
      <top style="hair">
        <color rgb="FF000000"/>
      </top>
      <bottom style="hair">
        <color rgb="FF000000"/>
      </bottom>
      <diagonal/>
    </border>
    <border>
      <left/>
      <right/>
      <top style="hair">
        <color rgb="FF000000"/>
      </top>
      <bottom style="hair">
        <color rgb="FF000000"/>
      </bottom>
      <diagonal/>
    </border>
    <border>
      <left/>
      <right/>
      <top style="thin">
        <color rgb="FF000000"/>
      </top>
      <bottom/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double">
        <color indexed="64"/>
      </left>
      <right/>
      <top style="double">
        <color indexed="64"/>
      </top>
      <bottom/>
      <diagonal/>
    </border>
    <border>
      <left style="double">
        <color indexed="64"/>
      </left>
      <right/>
      <top/>
      <bottom/>
      <diagonal/>
    </border>
  </borders>
  <cellStyleXfs count="4">
    <xf numFmtId="0" fontId="0" fillId="0" borderId="0"/>
    <xf numFmtId="9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43" fontId="1" fillId="0" borderId="0" applyFont="0" applyFill="0" applyBorder="0" applyAlignment="0" applyProtection="0"/>
  </cellStyleXfs>
  <cellXfs count="365">
    <xf numFmtId="0" fontId="0" fillId="0" borderId="0" xfId="0"/>
    <xf numFmtId="0" fontId="0" fillId="2" borderId="0" xfId="0" applyFill="1"/>
    <xf numFmtId="0" fontId="2" fillId="2" borderId="0" xfId="0" applyFont="1" applyFill="1"/>
    <xf numFmtId="0" fontId="2" fillId="3" borderId="0" xfId="0" applyFont="1" applyFill="1"/>
    <xf numFmtId="0" fontId="5" fillId="3" borderId="0" xfId="0" applyFont="1" applyFill="1"/>
    <xf numFmtId="0" fontId="5" fillId="2" borderId="0" xfId="0" applyFont="1" applyFill="1"/>
    <xf numFmtId="0" fontId="3" fillId="0" borderId="2" xfId="0" applyFont="1" applyBorder="1"/>
    <xf numFmtId="165" fontId="6" fillId="0" borderId="1" xfId="0" applyNumberFormat="1" applyFont="1" applyBorder="1"/>
    <xf numFmtId="167" fontId="6" fillId="0" borderId="1" xfId="0" applyNumberFormat="1" applyFont="1" applyBorder="1"/>
    <xf numFmtId="166" fontId="3" fillId="0" borderId="0" xfId="0" applyNumberFormat="1" applyFont="1"/>
    <xf numFmtId="0" fontId="3" fillId="0" borderId="0" xfId="0" applyFont="1"/>
    <xf numFmtId="0" fontId="7" fillId="0" borderId="0" xfId="0" applyFont="1"/>
    <xf numFmtId="0" fontId="3" fillId="0" borderId="3" xfId="0" applyFont="1" applyBorder="1"/>
    <xf numFmtId="0" fontId="3" fillId="5" borderId="3" xfId="0" applyFont="1" applyFill="1" applyBorder="1"/>
    <xf numFmtId="9" fontId="7" fillId="0" borderId="0" xfId="1" applyFont="1"/>
    <xf numFmtId="10" fontId="7" fillId="0" borderId="0" xfId="0" applyNumberFormat="1" applyFont="1"/>
    <xf numFmtId="0" fontId="4" fillId="2" borderId="0" xfId="0" applyFont="1" applyFill="1"/>
    <xf numFmtId="10" fontId="0" fillId="0" borderId="0" xfId="1" applyNumberFormat="1" applyFont="1"/>
    <xf numFmtId="0" fontId="3" fillId="6" borderId="3" xfId="0" applyFont="1" applyFill="1" applyBorder="1"/>
    <xf numFmtId="0" fontId="0" fillId="0" borderId="2" xfId="0" applyBorder="1"/>
    <xf numFmtId="166" fontId="0" fillId="4" borderId="0" xfId="0" applyNumberFormat="1" applyFill="1"/>
    <xf numFmtId="0" fontId="0" fillId="0" borderId="3" xfId="0" applyBorder="1"/>
    <xf numFmtId="0" fontId="0" fillId="5" borderId="3" xfId="0" applyFill="1" applyBorder="1"/>
    <xf numFmtId="2" fontId="0" fillId="0" borderId="0" xfId="0" applyNumberFormat="1"/>
    <xf numFmtId="0" fontId="9" fillId="7" borderId="0" xfId="0" applyFont="1" applyFill="1"/>
    <xf numFmtId="0" fontId="10" fillId="7" borderId="0" xfId="0" applyFont="1" applyFill="1"/>
    <xf numFmtId="0" fontId="11" fillId="0" borderId="0" xfId="0" applyFont="1"/>
    <xf numFmtId="0" fontId="12" fillId="0" borderId="0" xfId="0" applyFont="1" applyAlignment="1">
      <alignment horizontal="center"/>
    </xf>
    <xf numFmtId="0" fontId="10" fillId="0" borderId="0" xfId="0" applyFont="1"/>
    <xf numFmtId="0" fontId="11" fillId="0" borderId="5" xfId="0" applyFont="1" applyBorder="1"/>
    <xf numFmtId="0" fontId="12" fillId="0" borderId="5" xfId="0" applyFont="1" applyBorder="1" applyAlignment="1">
      <alignment horizontal="center"/>
    </xf>
    <xf numFmtId="2" fontId="10" fillId="0" borderId="0" xfId="0" applyNumberFormat="1" applyFont="1"/>
    <xf numFmtId="10" fontId="11" fillId="0" borderId="6" xfId="0" applyNumberFormat="1" applyFont="1" applyBorder="1" applyAlignment="1">
      <alignment horizontal="center"/>
    </xf>
    <xf numFmtId="10" fontId="13" fillId="0" borderId="6" xfId="0" applyNumberFormat="1" applyFont="1" applyBorder="1" applyAlignment="1">
      <alignment horizontal="center"/>
    </xf>
    <xf numFmtId="0" fontId="14" fillId="0" borderId="7" xfId="0" applyFont="1" applyBorder="1" applyAlignment="1">
      <alignment horizontal="center" vertical="center"/>
    </xf>
    <xf numFmtId="170" fontId="11" fillId="0" borderId="0" xfId="0" applyNumberFormat="1" applyFont="1" applyAlignment="1">
      <alignment horizontal="center"/>
    </xf>
    <xf numFmtId="0" fontId="12" fillId="0" borderId="7" xfId="0" applyFont="1" applyBorder="1" applyAlignment="1">
      <alignment horizontal="center" vertical="center"/>
    </xf>
    <xf numFmtId="170" fontId="13" fillId="0" borderId="0" xfId="0" applyNumberFormat="1" applyFont="1" applyAlignment="1">
      <alignment horizontal="center"/>
    </xf>
    <xf numFmtId="0" fontId="11" fillId="0" borderId="7" xfId="0" applyFont="1" applyBorder="1" applyAlignment="1">
      <alignment horizontal="center" vertical="center"/>
    </xf>
    <xf numFmtId="10" fontId="10" fillId="0" borderId="0" xfId="0" applyNumberFormat="1" applyFont="1"/>
    <xf numFmtId="10" fontId="0" fillId="0" borderId="0" xfId="0" applyNumberFormat="1"/>
    <xf numFmtId="10" fontId="11" fillId="0" borderId="0" xfId="0" applyNumberFormat="1" applyFont="1" applyAlignment="1">
      <alignment horizontal="center"/>
    </xf>
    <xf numFmtId="10" fontId="13" fillId="0" borderId="0" xfId="0" applyNumberFormat="1" applyFont="1" applyAlignment="1">
      <alignment horizontal="center"/>
    </xf>
    <xf numFmtId="10" fontId="11" fillId="0" borderId="0" xfId="1" applyNumberFormat="1" applyFont="1" applyFill="1" applyBorder="1"/>
    <xf numFmtId="10" fontId="11" fillId="8" borderId="0" xfId="1" applyNumberFormat="1" applyFont="1" applyFill="1" applyBorder="1"/>
    <xf numFmtId="10" fontId="0" fillId="0" borderId="4" xfId="0" applyNumberFormat="1" applyBorder="1"/>
    <xf numFmtId="0" fontId="17" fillId="0" borderId="0" xfId="0" applyFont="1"/>
    <xf numFmtId="0" fontId="17" fillId="0" borderId="0" xfId="0" applyFont="1" applyAlignment="1">
      <alignment horizontal="center"/>
    </xf>
    <xf numFmtId="0" fontId="15" fillId="9" borderId="0" xfId="0" applyFont="1" applyFill="1"/>
    <xf numFmtId="0" fontId="18" fillId="9" borderId="0" xfId="0" applyFont="1" applyFill="1"/>
    <xf numFmtId="0" fontId="18" fillId="9" borderId="0" xfId="0" applyFont="1" applyFill="1" applyAlignment="1">
      <alignment horizontal="center"/>
    </xf>
    <xf numFmtId="0" fontId="16" fillId="0" borderId="0" xfId="0" applyFont="1"/>
    <xf numFmtId="0" fontId="0" fillId="0" borderId="8" xfId="0" applyBorder="1" applyAlignment="1">
      <alignment horizontal="center"/>
    </xf>
    <xf numFmtId="0" fontId="19" fillId="0" borderId="0" xfId="0" applyFont="1"/>
    <xf numFmtId="0" fontId="20" fillId="10" borderId="9" xfId="0" applyFont="1" applyFill="1" applyBorder="1" applyAlignment="1">
      <alignment horizontal="center"/>
    </xf>
    <xf numFmtId="0" fontId="19" fillId="0" borderId="0" xfId="0" applyFont="1" applyAlignment="1">
      <alignment horizontal="center"/>
    </xf>
    <xf numFmtId="0" fontId="20" fillId="0" borderId="0" xfId="0" applyFont="1"/>
    <xf numFmtId="0" fontId="20" fillId="11" borderId="10" xfId="0" applyFont="1" applyFill="1" applyBorder="1" applyAlignment="1">
      <alignment horizontal="center" vertical="center" wrapText="1"/>
    </xf>
    <xf numFmtId="0" fontId="17" fillId="0" borderId="0" xfId="0" applyFont="1" applyAlignment="1">
      <alignment horizontal="center" vertical="center"/>
    </xf>
    <xf numFmtId="0" fontId="19" fillId="0" borderId="9" xfId="0" applyFont="1" applyBorder="1" applyAlignment="1">
      <alignment horizontal="center" vertical="center"/>
    </xf>
    <xf numFmtId="0" fontId="19" fillId="0" borderId="11" xfId="0" applyFont="1" applyBorder="1" applyAlignment="1">
      <alignment horizontal="center" vertical="center"/>
    </xf>
    <xf numFmtId="0" fontId="19" fillId="0" borderId="9" xfId="0" applyFont="1" applyBorder="1" applyAlignment="1">
      <alignment horizontal="center" vertical="center" wrapText="1"/>
    </xf>
    <xf numFmtId="0" fontId="3" fillId="12" borderId="0" xfId="0" applyFont="1" applyFill="1"/>
    <xf numFmtId="0" fontId="15" fillId="12" borderId="0" xfId="0" applyFont="1" applyFill="1"/>
    <xf numFmtId="0" fontId="18" fillId="12" borderId="0" xfId="0" applyFont="1" applyFill="1"/>
    <xf numFmtId="0" fontId="18" fillId="12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21" fillId="13" borderId="9" xfId="0" applyFont="1" applyFill="1" applyBorder="1" applyAlignment="1">
      <alignment horizontal="center"/>
    </xf>
    <xf numFmtId="171" fontId="21" fillId="13" borderId="10" xfId="0" applyNumberFormat="1" applyFont="1" applyFill="1" applyBorder="1" applyAlignment="1">
      <alignment horizontal="center"/>
    </xf>
    <xf numFmtId="1" fontId="20" fillId="11" borderId="9" xfId="0" applyNumberFormat="1" applyFont="1" applyFill="1" applyBorder="1" applyAlignment="1">
      <alignment horizontal="center"/>
    </xf>
    <xf numFmtId="0" fontId="21" fillId="13" borderId="8" xfId="0" applyFont="1" applyFill="1" applyBorder="1" applyAlignment="1">
      <alignment horizontal="center"/>
    </xf>
    <xf numFmtId="0" fontId="5" fillId="0" borderId="0" xfId="0" applyFont="1"/>
    <xf numFmtId="0" fontId="2" fillId="9" borderId="0" xfId="0" applyFont="1" applyFill="1"/>
    <xf numFmtId="0" fontId="3" fillId="12" borderId="12" xfId="0" applyFont="1" applyFill="1" applyBorder="1"/>
    <xf numFmtId="0" fontId="7" fillId="12" borderId="13" xfId="0" applyFont="1" applyFill="1" applyBorder="1"/>
    <xf numFmtId="0" fontId="0" fillId="12" borderId="13" xfId="0" applyFill="1" applyBorder="1"/>
    <xf numFmtId="0" fontId="21" fillId="12" borderId="13" xfId="0" applyFont="1" applyFill="1" applyBorder="1"/>
    <xf numFmtId="0" fontId="3" fillId="12" borderId="13" xfId="0" applyFont="1" applyFill="1" applyBorder="1"/>
    <xf numFmtId="0" fontId="24" fillId="0" borderId="0" xfId="0" applyFont="1"/>
    <xf numFmtId="0" fontId="25" fillId="0" borderId="0" xfId="0" applyFont="1"/>
    <xf numFmtId="0" fontId="3" fillId="0" borderId="0" xfId="0" applyFont="1" applyAlignment="1">
      <alignment vertical="center"/>
    </xf>
    <xf numFmtId="0" fontId="3" fillId="0" borderId="5" xfId="0" applyFont="1" applyBorder="1" applyAlignment="1">
      <alignment vertical="center"/>
    </xf>
    <xf numFmtId="1" fontId="26" fillId="13" borderId="9" xfId="0" applyNumberFormat="1" applyFont="1" applyFill="1" applyBorder="1" applyAlignment="1">
      <alignment horizontal="center" vertical="center"/>
    </xf>
    <xf numFmtId="0" fontId="0" fillId="0" borderId="5" xfId="0" applyBorder="1" applyAlignment="1">
      <alignment vertical="center"/>
    </xf>
    <xf numFmtId="0" fontId="0" fillId="0" borderId="0" xfId="0" applyAlignment="1">
      <alignment horizontal="center" vertical="center"/>
    </xf>
    <xf numFmtId="0" fontId="28" fillId="0" borderId="0" xfId="0" applyFont="1"/>
    <xf numFmtId="10" fontId="0" fillId="0" borderId="0" xfId="0" applyNumberFormat="1" applyAlignment="1">
      <alignment horizontal="center"/>
    </xf>
    <xf numFmtId="0" fontId="5" fillId="0" borderId="0" xfId="0" applyFont="1" applyAlignment="1">
      <alignment horizontal="center"/>
    </xf>
    <xf numFmtId="172" fontId="29" fillId="0" borderId="0" xfId="1" applyNumberFormat="1" applyFont="1" applyAlignment="1">
      <alignment horizontal="center"/>
    </xf>
    <xf numFmtId="0" fontId="5" fillId="0" borderId="0" xfId="0" applyFont="1" applyAlignment="1">
      <alignment horizontal="right"/>
    </xf>
    <xf numFmtId="0" fontId="5" fillId="0" borderId="0" xfId="0" applyFont="1" applyAlignment="1">
      <alignment horizontal="center" vertical="center"/>
    </xf>
    <xf numFmtId="165" fontId="3" fillId="0" borderId="0" xfId="0" applyNumberFormat="1" applyFont="1" applyAlignment="1">
      <alignment horizontal="center"/>
    </xf>
    <xf numFmtId="166" fontId="3" fillId="0" borderId="0" xfId="0" applyNumberFormat="1" applyFont="1" applyAlignment="1">
      <alignment horizontal="center"/>
    </xf>
    <xf numFmtId="0" fontId="6" fillId="0" borderId="0" xfId="0" applyFont="1"/>
    <xf numFmtId="0" fontId="29" fillId="0" borderId="0" xfId="0" applyFont="1"/>
    <xf numFmtId="10" fontId="5" fillId="0" borderId="0" xfId="1" applyNumberFormat="1" applyFont="1"/>
    <xf numFmtId="173" fontId="5" fillId="0" borderId="0" xfId="0" applyNumberFormat="1" applyFont="1"/>
    <xf numFmtId="173" fontId="6" fillId="0" borderId="0" xfId="0" applyNumberFormat="1" applyFont="1"/>
    <xf numFmtId="167" fontId="3" fillId="0" borderId="0" xfId="0" applyNumberFormat="1" applyFont="1" applyAlignment="1">
      <alignment horizontal="center"/>
    </xf>
    <xf numFmtId="9" fontId="0" fillId="0" borderId="0" xfId="1" applyFont="1"/>
    <xf numFmtId="9" fontId="20" fillId="11" borderId="9" xfId="1" applyFont="1" applyFill="1" applyBorder="1" applyAlignment="1">
      <alignment horizontal="center"/>
    </xf>
    <xf numFmtId="0" fontId="3" fillId="14" borderId="3" xfId="0" applyFont="1" applyFill="1" applyBorder="1"/>
    <xf numFmtId="0" fontId="3" fillId="14" borderId="3" xfId="0" applyFont="1" applyFill="1" applyBorder="1" applyAlignment="1">
      <alignment horizontal="center"/>
    </xf>
    <xf numFmtId="9" fontId="7" fillId="0" borderId="0" xfId="1" applyFont="1" applyAlignment="1">
      <alignment horizontal="center"/>
    </xf>
    <xf numFmtId="9" fontId="0" fillId="4" borderId="0" xfId="1" applyFont="1" applyFill="1"/>
    <xf numFmtId="0" fontId="0" fillId="14" borderId="3" xfId="0" applyFill="1" applyBorder="1"/>
    <xf numFmtId="0" fontId="0" fillId="0" borderId="0" xfId="1" applyNumberFormat="1" applyFont="1"/>
    <xf numFmtId="9" fontId="0" fillId="0" borderId="0" xfId="0" applyNumberFormat="1"/>
    <xf numFmtId="0" fontId="0" fillId="14" borderId="0" xfId="0" applyFill="1"/>
    <xf numFmtId="0" fontId="3" fillId="14" borderId="0" xfId="0" applyFont="1" applyFill="1"/>
    <xf numFmtId="0" fontId="0" fillId="15" borderId="0" xfId="0" applyFill="1"/>
    <xf numFmtId="0" fontId="15" fillId="16" borderId="0" xfId="0" applyFont="1" applyFill="1"/>
    <xf numFmtId="0" fontId="15" fillId="16" borderId="0" xfId="0" applyFont="1" applyFill="1" applyAlignment="1">
      <alignment horizontal="center"/>
    </xf>
    <xf numFmtId="0" fontId="16" fillId="16" borderId="0" xfId="0" applyFont="1" applyFill="1"/>
    <xf numFmtId="0" fontId="16" fillId="16" borderId="0" xfId="0" applyFont="1" applyFill="1" applyAlignment="1">
      <alignment horizontal="center"/>
    </xf>
    <xf numFmtId="0" fontId="3" fillId="16" borderId="0" xfId="0" applyFont="1" applyFill="1"/>
    <xf numFmtId="10" fontId="7" fillId="0" borderId="0" xfId="1" applyNumberFormat="1" applyFont="1"/>
    <xf numFmtId="0" fontId="31" fillId="0" borderId="0" xfId="0" applyFont="1" applyAlignment="1">
      <alignment horizontal="center"/>
    </xf>
    <xf numFmtId="0" fontId="7" fillId="15" borderId="0" xfId="0" applyFont="1" applyFill="1"/>
    <xf numFmtId="10" fontId="0" fillId="4" borderId="0" xfId="1" applyNumberFormat="1" applyFont="1" applyFill="1"/>
    <xf numFmtId="0" fontId="0" fillId="14" borderId="14" xfId="0" applyFill="1" applyBorder="1"/>
    <xf numFmtId="0" fontId="0" fillId="0" borderId="0" xfId="0" applyAlignment="1">
      <alignment wrapText="1"/>
    </xf>
    <xf numFmtId="0" fontId="0" fillId="3" borderId="0" xfId="0" applyFill="1"/>
    <xf numFmtId="0" fontId="0" fillId="17" borderId="0" xfId="0" applyFill="1"/>
    <xf numFmtId="0" fontId="2" fillId="17" borderId="0" xfId="0" applyFont="1" applyFill="1"/>
    <xf numFmtId="9" fontId="0" fillId="3" borderId="0" xfId="1" applyFont="1" applyFill="1"/>
    <xf numFmtId="10" fontId="5" fillId="0" borderId="0" xfId="1" applyNumberFormat="1" applyFont="1" applyAlignment="1">
      <alignment horizontal="center"/>
    </xf>
    <xf numFmtId="0" fontId="4" fillId="17" borderId="0" xfId="0" applyFont="1" applyFill="1"/>
    <xf numFmtId="15" fontId="0" fillId="3" borderId="0" xfId="0" applyNumberFormat="1" applyFill="1"/>
    <xf numFmtId="169" fontId="0" fillId="3" borderId="0" xfId="0" applyNumberFormat="1" applyFill="1"/>
    <xf numFmtId="3" fontId="0" fillId="0" borderId="0" xfId="0" applyNumberFormat="1"/>
    <xf numFmtId="3" fontId="0" fillId="3" borderId="0" xfId="0" applyNumberFormat="1" applyFill="1"/>
    <xf numFmtId="0" fontId="0" fillId="0" borderId="15" xfId="0" applyBorder="1"/>
    <xf numFmtId="0" fontId="0" fillId="18" borderId="0" xfId="0" applyFill="1"/>
    <xf numFmtId="0" fontId="31" fillId="0" borderId="0" xfId="0" applyFont="1"/>
    <xf numFmtId="174" fontId="0" fillId="4" borderId="0" xfId="0" applyNumberFormat="1" applyFill="1"/>
    <xf numFmtId="9" fontId="26" fillId="0" borderId="0" xfId="1" applyFont="1" applyAlignment="1">
      <alignment horizontal="center"/>
    </xf>
    <xf numFmtId="0" fontId="3" fillId="0" borderId="0" xfId="0" applyFont="1" applyAlignment="1">
      <alignment horizontal="center"/>
    </xf>
    <xf numFmtId="0" fontId="2" fillId="18" borderId="0" xfId="0" applyFont="1" applyFill="1"/>
    <xf numFmtId="0" fontId="4" fillId="18" borderId="0" xfId="0" applyFont="1" applyFill="1"/>
    <xf numFmtId="0" fontId="26" fillId="0" borderId="0" xfId="0" applyFont="1"/>
    <xf numFmtId="0" fontId="0" fillId="0" borderId="0" xfId="0" applyAlignment="1">
      <alignment vertical="center"/>
    </xf>
    <xf numFmtId="0" fontId="0" fillId="3" borderId="0" xfId="0" applyFill="1" applyAlignment="1">
      <alignment horizontal="center" vertical="center"/>
    </xf>
    <xf numFmtId="0" fontId="31" fillId="2" borderId="0" xfId="0" applyFont="1" applyFill="1"/>
    <xf numFmtId="0" fontId="3" fillId="19" borderId="0" xfId="0" applyFont="1" applyFill="1" applyAlignment="1">
      <alignment horizontal="center"/>
    </xf>
    <xf numFmtId="0" fontId="5" fillId="15" borderId="0" xfId="0" applyFont="1" applyFill="1"/>
    <xf numFmtId="0" fontId="2" fillId="2" borderId="0" xfId="0" applyFont="1" applyFill="1" applyAlignment="1">
      <alignment horizontal="center"/>
    </xf>
    <xf numFmtId="10" fontId="3" fillId="14" borderId="3" xfId="1" applyNumberFormat="1" applyFont="1" applyFill="1" applyBorder="1"/>
    <xf numFmtId="167" fontId="0" fillId="0" borderId="0" xfId="0" applyNumberFormat="1"/>
    <xf numFmtId="9" fontId="0" fillId="0" borderId="0" xfId="1" applyFont="1" applyFill="1"/>
    <xf numFmtId="0" fontId="26" fillId="20" borderId="0" xfId="0" applyFont="1" applyFill="1"/>
    <xf numFmtId="9" fontId="26" fillId="20" borderId="0" xfId="1" applyFont="1" applyFill="1"/>
    <xf numFmtId="168" fontId="26" fillId="20" borderId="0" xfId="0" applyNumberFormat="1" applyFont="1" applyFill="1"/>
    <xf numFmtId="174" fontId="26" fillId="20" borderId="0" xfId="2" applyNumberFormat="1" applyFont="1" applyFill="1"/>
    <xf numFmtId="0" fontId="0" fillId="20" borderId="0" xfId="0" applyFill="1"/>
    <xf numFmtId="174" fontId="0" fillId="0" borderId="0" xfId="2" applyNumberFormat="1" applyFont="1"/>
    <xf numFmtId="166" fontId="0" fillId="0" borderId="0" xfId="0" applyNumberFormat="1"/>
    <xf numFmtId="0" fontId="3" fillId="14" borderId="17" xfId="0" applyFont="1" applyFill="1" applyBorder="1"/>
    <xf numFmtId="0" fontId="3" fillId="14" borderId="18" xfId="0" applyFont="1" applyFill="1" applyBorder="1"/>
    <xf numFmtId="0" fontId="3" fillId="14" borderId="19" xfId="0" applyFont="1" applyFill="1" applyBorder="1"/>
    <xf numFmtId="0" fontId="3" fillId="14" borderId="20" xfId="0" applyFont="1" applyFill="1" applyBorder="1"/>
    <xf numFmtId="0" fontId="3" fillId="14" borderId="21" xfId="0" applyFont="1" applyFill="1" applyBorder="1"/>
    <xf numFmtId="170" fontId="0" fillId="0" borderId="0" xfId="0" applyNumberFormat="1"/>
    <xf numFmtId="170" fontId="3" fillId="14" borderId="22" xfId="0" applyNumberFormat="1" applyFont="1" applyFill="1" applyBorder="1"/>
    <xf numFmtId="0" fontId="2" fillId="15" borderId="0" xfId="0" applyFont="1" applyFill="1" applyAlignment="1">
      <alignment horizontal="center"/>
    </xf>
    <xf numFmtId="165" fontId="6" fillId="0" borderId="0" xfId="0" applyNumberFormat="1" applyFont="1"/>
    <xf numFmtId="0" fontId="0" fillId="0" borderId="23" xfId="0" applyBorder="1"/>
    <xf numFmtId="0" fontId="2" fillId="2" borderId="17" xfId="0" applyFont="1" applyFill="1" applyBorder="1"/>
    <xf numFmtId="0" fontId="4" fillId="2" borderId="18" xfId="0" applyFont="1" applyFill="1" applyBorder="1"/>
    <xf numFmtId="0" fontId="4" fillId="2" borderId="19" xfId="0" applyFont="1" applyFill="1" applyBorder="1"/>
    <xf numFmtId="0" fontId="0" fillId="0" borderId="24" xfId="0" applyBorder="1"/>
    <xf numFmtId="0" fontId="0" fillId="0" borderId="25" xfId="0" applyBorder="1"/>
    <xf numFmtId="174" fontId="0" fillId="0" borderId="25" xfId="2" applyNumberFormat="1" applyFont="1" applyBorder="1"/>
    <xf numFmtId="0" fontId="0" fillId="20" borderId="25" xfId="0" applyFill="1" applyBorder="1"/>
    <xf numFmtId="0" fontId="0" fillId="0" borderId="20" xfId="0" applyBorder="1"/>
    <xf numFmtId="0" fontId="0" fillId="0" borderId="21" xfId="0" applyBorder="1"/>
    <xf numFmtId="10" fontId="0" fillId="0" borderId="22" xfId="0" applyNumberFormat="1" applyBorder="1"/>
    <xf numFmtId="0" fontId="7" fillId="0" borderId="24" xfId="0" applyFont="1" applyBorder="1"/>
    <xf numFmtId="9" fontId="7" fillId="0" borderId="25" xfId="1" applyFont="1" applyBorder="1"/>
    <xf numFmtId="3" fontId="0" fillId="0" borderId="25" xfId="0" applyNumberFormat="1" applyBorder="1"/>
    <xf numFmtId="0" fontId="3" fillId="14" borderId="26" xfId="0" applyFont="1" applyFill="1" applyBorder="1"/>
    <xf numFmtId="0" fontId="0" fillId="14" borderId="27" xfId="0" applyFill="1" applyBorder="1"/>
    <xf numFmtId="1" fontId="0" fillId="0" borderId="25" xfId="0" applyNumberFormat="1" applyBorder="1"/>
    <xf numFmtId="0" fontId="7" fillId="0" borderId="20" xfId="0" applyFont="1" applyBorder="1"/>
    <xf numFmtId="0" fontId="7" fillId="0" borderId="22" xfId="0" applyFont="1" applyBorder="1"/>
    <xf numFmtId="0" fontId="2" fillId="2" borderId="18" xfId="0" applyFont="1" applyFill="1" applyBorder="1"/>
    <xf numFmtId="0" fontId="2" fillId="2" borderId="19" xfId="0" applyFont="1" applyFill="1" applyBorder="1"/>
    <xf numFmtId="0" fontId="3" fillId="0" borderId="26" xfId="0" applyFont="1" applyBorder="1"/>
    <xf numFmtId="0" fontId="0" fillId="0" borderId="27" xfId="0" applyBorder="1"/>
    <xf numFmtId="170" fontId="0" fillId="0" borderId="25" xfId="0" applyNumberFormat="1" applyBorder="1"/>
    <xf numFmtId="0" fontId="3" fillId="0" borderId="28" xfId="0" applyFont="1" applyBorder="1"/>
    <xf numFmtId="0" fontId="0" fillId="0" borderId="29" xfId="0" applyBorder="1"/>
    <xf numFmtId="0" fontId="3" fillId="14" borderId="30" xfId="0" applyFont="1" applyFill="1" applyBorder="1"/>
    <xf numFmtId="0" fontId="0" fillId="14" borderId="31" xfId="0" applyFill="1" applyBorder="1"/>
    <xf numFmtId="0" fontId="0" fillId="14" borderId="32" xfId="0" applyFill="1" applyBorder="1"/>
    <xf numFmtId="0" fontId="32" fillId="0" borderId="24" xfId="0" applyFont="1" applyBorder="1"/>
    <xf numFmtId="0" fontId="32" fillId="0" borderId="0" xfId="0" applyFont="1"/>
    <xf numFmtId="9" fontId="33" fillId="20" borderId="25" xfId="1" applyFont="1" applyFill="1" applyBorder="1"/>
    <xf numFmtId="0" fontId="3" fillId="14" borderId="31" xfId="0" applyFont="1" applyFill="1" applyBorder="1"/>
    <xf numFmtId="0" fontId="3" fillId="0" borderId="24" xfId="0" applyFont="1" applyBorder="1"/>
    <xf numFmtId="0" fontId="3" fillId="0" borderId="25" xfId="0" applyFont="1" applyBorder="1"/>
    <xf numFmtId="9" fontId="0" fillId="0" borderId="25" xfId="1" applyFont="1" applyBorder="1"/>
    <xf numFmtId="174" fontId="0" fillId="0" borderId="25" xfId="0" applyNumberFormat="1" applyBorder="1"/>
    <xf numFmtId="0" fontId="0" fillId="0" borderId="28" xfId="0" applyBorder="1"/>
    <xf numFmtId="9" fontId="24" fillId="14" borderId="0" xfId="1" applyFont="1" applyFill="1" applyBorder="1"/>
    <xf numFmtId="167" fontId="0" fillId="0" borderId="25" xfId="0" applyNumberFormat="1" applyBorder="1"/>
    <xf numFmtId="0" fontId="3" fillId="0" borderId="27" xfId="0" applyFont="1" applyBorder="1"/>
    <xf numFmtId="0" fontId="3" fillId="14" borderId="24" xfId="0" applyFont="1" applyFill="1" applyBorder="1"/>
    <xf numFmtId="176" fontId="3" fillId="14" borderId="25" xfId="0" applyNumberFormat="1" applyFont="1" applyFill="1" applyBorder="1"/>
    <xf numFmtId="0" fontId="24" fillId="14" borderId="24" xfId="0" applyFont="1" applyFill="1" applyBorder="1"/>
    <xf numFmtId="9" fontId="24" fillId="14" borderId="25" xfId="1" applyFont="1" applyFill="1" applyBorder="1"/>
    <xf numFmtId="0" fontId="2" fillId="2" borderId="24" xfId="0" applyFont="1" applyFill="1" applyBorder="1"/>
    <xf numFmtId="0" fontId="4" fillId="2" borderId="25" xfId="0" applyFont="1" applyFill="1" applyBorder="1"/>
    <xf numFmtId="0" fontId="3" fillId="14" borderId="27" xfId="0" applyFont="1" applyFill="1" applyBorder="1"/>
    <xf numFmtId="170" fontId="3" fillId="14" borderId="25" xfId="0" applyNumberFormat="1" applyFont="1" applyFill="1" applyBorder="1"/>
    <xf numFmtId="0" fontId="3" fillId="0" borderId="24" xfId="0" applyFont="1" applyBorder="1" applyAlignment="1">
      <alignment horizontal="center"/>
    </xf>
    <xf numFmtId="174" fontId="0" fillId="0" borderId="21" xfId="0" applyNumberFormat="1" applyBorder="1"/>
    <xf numFmtId="0" fontId="0" fillId="0" borderId="22" xfId="0" applyBorder="1"/>
    <xf numFmtId="0" fontId="3" fillId="0" borderId="25" xfId="0" applyFont="1" applyBorder="1" applyAlignment="1">
      <alignment horizontal="center"/>
    </xf>
    <xf numFmtId="0" fontId="0" fillId="0" borderId="33" xfId="0" applyBorder="1"/>
    <xf numFmtId="0" fontId="0" fillId="0" borderId="34" xfId="0" applyBorder="1"/>
    <xf numFmtId="0" fontId="0" fillId="0" borderId="35" xfId="0" applyBorder="1"/>
    <xf numFmtId="177" fontId="5" fillId="0" borderId="25" xfId="0" applyNumberFormat="1" applyFont="1" applyBorder="1" applyAlignment="1">
      <alignment horizontal="right"/>
    </xf>
    <xf numFmtId="177" fontId="0" fillId="3" borderId="0" xfId="0" applyNumberFormat="1" applyFill="1"/>
    <xf numFmtId="9" fontId="5" fillId="0" borderId="25" xfId="1" applyFont="1" applyFill="1" applyBorder="1"/>
    <xf numFmtId="0" fontId="5" fillId="0" borderId="25" xfId="0" applyFont="1" applyBorder="1"/>
    <xf numFmtId="170" fontId="5" fillId="0" borderId="25" xfId="0" applyNumberFormat="1" applyFont="1" applyBorder="1"/>
    <xf numFmtId="174" fontId="5" fillId="0" borderId="25" xfId="2" applyNumberFormat="1" applyFont="1" applyFill="1" applyBorder="1"/>
    <xf numFmtId="3" fontId="5" fillId="0" borderId="25" xfId="0" applyNumberFormat="1" applyFont="1" applyBorder="1"/>
    <xf numFmtId="176" fontId="3" fillId="14" borderId="0" xfId="0" applyNumberFormat="1" applyFont="1" applyFill="1"/>
    <xf numFmtId="170" fontId="3" fillId="14" borderId="0" xfId="0" applyNumberFormat="1" applyFont="1" applyFill="1"/>
    <xf numFmtId="174" fontId="0" fillId="0" borderId="0" xfId="0" applyNumberFormat="1"/>
    <xf numFmtId="0" fontId="28" fillId="3" borderId="0" xfId="0" applyFont="1" applyFill="1"/>
    <xf numFmtId="178" fontId="26" fillId="3" borderId="0" xfId="1" applyNumberFormat="1" applyFont="1" applyFill="1"/>
    <xf numFmtId="179" fontId="0" fillId="0" borderId="0" xfId="3" applyNumberFormat="1" applyFont="1"/>
    <xf numFmtId="179" fontId="4" fillId="3" borderId="0" xfId="3" applyNumberFormat="1" applyFont="1" applyFill="1"/>
    <xf numFmtId="179" fontId="4" fillId="2" borderId="0" xfId="3" applyNumberFormat="1" applyFont="1" applyFill="1"/>
    <xf numFmtId="179" fontId="3" fillId="5" borderId="3" xfId="3" applyNumberFormat="1" applyFont="1" applyFill="1" applyBorder="1"/>
    <xf numFmtId="179" fontId="3" fillId="6" borderId="3" xfId="3" applyNumberFormat="1" applyFont="1" applyFill="1" applyBorder="1"/>
    <xf numFmtId="179" fontId="11" fillId="0" borderId="0" xfId="3" applyNumberFormat="1" applyFont="1"/>
    <xf numFmtId="179" fontId="11" fillId="8" borderId="0" xfId="3" applyNumberFormat="1" applyFont="1" applyFill="1"/>
    <xf numFmtId="179" fontId="5" fillId="0" borderId="0" xfId="3" applyNumberFormat="1" applyFont="1"/>
    <xf numFmtId="179" fontId="6" fillId="0" borderId="0" xfId="3" applyNumberFormat="1" applyFont="1"/>
    <xf numFmtId="179" fontId="0" fillId="14" borderId="3" xfId="3" applyNumberFormat="1" applyFont="1" applyFill="1" applyBorder="1"/>
    <xf numFmtId="178" fontId="26" fillId="0" borderId="0" xfId="1" applyNumberFormat="1" applyFont="1"/>
    <xf numFmtId="179" fontId="26" fillId="0" borderId="0" xfId="3" applyNumberFormat="1" applyFont="1"/>
    <xf numFmtId="178" fontId="0" fillId="0" borderId="0" xfId="1" applyNumberFormat="1" applyFont="1"/>
    <xf numFmtId="178" fontId="0" fillId="14" borderId="14" xfId="1" applyNumberFormat="1" applyFont="1" applyFill="1" applyBorder="1"/>
    <xf numFmtId="179" fontId="3" fillId="14" borderId="3" xfId="3" applyNumberFormat="1" applyFont="1" applyFill="1" applyBorder="1"/>
    <xf numFmtId="179" fontId="20" fillId="14" borderId="3" xfId="3" applyNumberFormat="1" applyFont="1" applyFill="1" applyBorder="1"/>
    <xf numFmtId="10" fontId="20" fillId="14" borderId="3" xfId="1" applyNumberFormat="1" applyFont="1" applyFill="1" applyBorder="1"/>
    <xf numFmtId="179" fontId="27" fillId="0" borderId="5" xfId="3" applyNumberFormat="1" applyFont="1" applyBorder="1" applyAlignment="1">
      <alignment vertical="center"/>
    </xf>
    <xf numFmtId="179" fontId="28" fillId="0" borderId="0" xfId="3" applyNumberFormat="1" applyFont="1"/>
    <xf numFmtId="179" fontId="26" fillId="13" borderId="0" xfId="3" applyNumberFormat="1" applyFont="1" applyFill="1"/>
    <xf numFmtId="179" fontId="18" fillId="12" borderId="0" xfId="3" applyNumberFormat="1" applyFont="1" applyFill="1"/>
    <xf numFmtId="179" fontId="0" fillId="15" borderId="0" xfId="3" applyNumberFormat="1" applyFont="1" applyFill="1"/>
    <xf numFmtId="179" fontId="3" fillId="14" borderId="0" xfId="3" applyNumberFormat="1" applyFont="1" applyFill="1"/>
    <xf numFmtId="10" fontId="0" fillId="0" borderId="16" xfId="1" applyNumberFormat="1" applyFont="1" applyBorder="1"/>
    <xf numFmtId="179" fontId="0" fillId="0" borderId="0" xfId="3" applyNumberFormat="1" applyFont="1" applyAlignment="1">
      <alignment horizontal="center"/>
    </xf>
    <xf numFmtId="179" fontId="3" fillId="14" borderId="3" xfId="3" applyNumberFormat="1" applyFont="1" applyFill="1" applyBorder="1" applyAlignment="1">
      <alignment horizontal="center"/>
    </xf>
    <xf numFmtId="179" fontId="0" fillId="4" borderId="0" xfId="3" applyNumberFormat="1" applyFont="1" applyFill="1"/>
    <xf numFmtId="179" fontId="3" fillId="0" borderId="0" xfId="3" applyNumberFormat="1" applyFont="1"/>
    <xf numFmtId="179" fontId="3" fillId="0" borderId="3" xfId="3" applyNumberFormat="1" applyFont="1" applyBorder="1"/>
    <xf numFmtId="179" fontId="20" fillId="5" borderId="3" xfId="3" applyNumberFormat="1" applyFont="1" applyFill="1" applyBorder="1"/>
    <xf numFmtId="179" fontId="3" fillId="14" borderId="0" xfId="3" applyNumberFormat="1" applyFont="1" applyFill="1" applyAlignment="1">
      <alignment horizontal="center"/>
    </xf>
    <xf numFmtId="0" fontId="15" fillId="2" borderId="0" xfId="0" applyFont="1" applyFill="1"/>
    <xf numFmtId="0" fontId="35" fillId="0" borderId="0" xfId="0" applyFont="1"/>
    <xf numFmtId="166" fontId="20" fillId="0" borderId="0" xfId="0" quotePrefix="1" applyNumberFormat="1" applyFont="1"/>
    <xf numFmtId="179" fontId="35" fillId="20" borderId="0" xfId="3" quotePrefix="1" applyNumberFormat="1" applyFont="1" applyFill="1"/>
    <xf numFmtId="179" fontId="35" fillId="0" borderId="0" xfId="3" quotePrefix="1" applyNumberFormat="1" applyFont="1" applyFill="1"/>
    <xf numFmtId="179" fontId="20" fillId="14" borderId="3" xfId="3" applyNumberFormat="1" applyFont="1" applyFill="1" applyBorder="1" applyAlignment="1">
      <alignment horizontal="center"/>
    </xf>
    <xf numFmtId="0" fontId="0" fillId="0" borderId="36" xfId="0" applyBorder="1"/>
    <xf numFmtId="0" fontId="0" fillId="0" borderId="37" xfId="0" applyBorder="1"/>
    <xf numFmtId="0" fontId="36" fillId="0" borderId="0" xfId="0" applyFont="1" applyAlignment="1">
      <alignment vertical="center"/>
    </xf>
    <xf numFmtId="178" fontId="28" fillId="14" borderId="3" xfId="1" applyNumberFormat="1" applyFont="1" applyFill="1" applyBorder="1"/>
    <xf numFmtId="179" fontId="28" fillId="14" borderId="3" xfId="3" applyNumberFormat="1" applyFont="1" applyFill="1" applyBorder="1"/>
    <xf numFmtId="169" fontId="28" fillId="14" borderId="3" xfId="0" applyNumberFormat="1" applyFont="1" applyFill="1" applyBorder="1"/>
    <xf numFmtId="179" fontId="28" fillId="14" borderId="14" xfId="3" applyNumberFormat="1" applyFont="1" applyFill="1" applyBorder="1"/>
    <xf numFmtId="169" fontId="28" fillId="14" borderId="14" xfId="0" applyNumberFormat="1" applyFont="1" applyFill="1" applyBorder="1"/>
    <xf numFmtId="169" fontId="5" fillId="0" borderId="0" xfId="0" applyNumberFormat="1" applyFont="1"/>
    <xf numFmtId="180" fontId="28" fillId="0" borderId="0" xfId="0" applyNumberFormat="1" applyFont="1"/>
    <xf numFmtId="179" fontId="35" fillId="20" borderId="0" xfId="3" quotePrefix="1" applyNumberFormat="1" applyFont="1" applyFill="1" applyBorder="1" applyAlignment="1"/>
    <xf numFmtId="2" fontId="28" fillId="0" borderId="0" xfId="0" applyNumberFormat="1" applyFont="1"/>
    <xf numFmtId="0" fontId="5" fillId="0" borderId="0" xfId="3" applyNumberFormat="1" applyFont="1"/>
    <xf numFmtId="0" fontId="29" fillId="0" borderId="0" xfId="3" applyNumberFormat="1" applyFont="1"/>
    <xf numFmtId="179" fontId="35" fillId="20" borderId="0" xfId="3" applyNumberFormat="1" applyFont="1" applyFill="1" applyAlignment="1">
      <alignment horizontal="right"/>
    </xf>
    <xf numFmtId="179" fontId="37" fillId="0" borderId="0" xfId="3" applyNumberFormat="1" applyFont="1"/>
    <xf numFmtId="179" fontId="5" fillId="0" borderId="0" xfId="3" applyNumberFormat="1" applyFont="1" applyFill="1" applyBorder="1" applyAlignment="1"/>
    <xf numFmtId="179" fontId="28" fillId="0" borderId="0" xfId="3" applyNumberFormat="1" applyFont="1" applyFill="1" applyBorder="1" applyAlignment="1"/>
    <xf numFmtId="181" fontId="5" fillId="0" borderId="0" xfId="0" applyNumberFormat="1" applyFont="1"/>
    <xf numFmtId="2" fontId="5" fillId="0" borderId="0" xfId="0" applyNumberFormat="1" applyFont="1"/>
    <xf numFmtId="172" fontId="26" fillId="3" borderId="0" xfId="1" applyNumberFormat="1" applyFont="1" applyFill="1"/>
    <xf numFmtId="10" fontId="26" fillId="3" borderId="0" xfId="1" applyNumberFormat="1" applyFont="1" applyFill="1"/>
    <xf numFmtId="3" fontId="26" fillId="3" borderId="0" xfId="0" applyNumberFormat="1" applyFont="1" applyFill="1"/>
    <xf numFmtId="182" fontId="0" fillId="0" borderId="0" xfId="3" applyNumberFormat="1" applyFont="1"/>
    <xf numFmtId="10" fontId="5" fillId="0" borderId="0" xfId="1" applyNumberFormat="1" applyFont="1" applyAlignment="1">
      <alignment horizontal="right"/>
    </xf>
    <xf numFmtId="179" fontId="5" fillId="0" borderId="0" xfId="3" applyNumberFormat="1" applyFont="1" applyAlignment="1">
      <alignment horizontal="right"/>
    </xf>
    <xf numFmtId="176" fontId="5" fillId="0" borderId="0" xfId="3" applyNumberFormat="1" applyFont="1" applyAlignment="1">
      <alignment horizontal="right"/>
    </xf>
    <xf numFmtId="10" fontId="28" fillId="4" borderId="0" xfId="1" applyNumberFormat="1" applyFont="1" applyFill="1" applyBorder="1" applyAlignment="1"/>
    <xf numFmtId="3" fontId="5" fillId="0" borderId="0" xfId="0" applyNumberFormat="1" applyFont="1"/>
    <xf numFmtId="168" fontId="0" fillId="0" borderId="0" xfId="3" applyNumberFormat="1" applyFont="1"/>
    <xf numFmtId="179" fontId="20" fillId="21" borderId="3" xfId="3" applyNumberFormat="1" applyFont="1" applyFill="1" applyBorder="1" applyAlignment="1">
      <alignment horizontal="center"/>
    </xf>
    <xf numFmtId="179" fontId="5" fillId="0" borderId="0" xfId="3" applyNumberFormat="1" applyFont="1" applyFill="1" applyBorder="1" applyAlignment="1">
      <alignment horizontal="center"/>
    </xf>
    <xf numFmtId="9" fontId="29" fillId="0" borderId="0" xfId="1" applyFont="1" applyAlignment="1">
      <alignment horizontal="center"/>
    </xf>
    <xf numFmtId="179" fontId="5" fillId="0" borderId="0" xfId="3" applyNumberFormat="1" applyFont="1" applyAlignment="1">
      <alignment horizontal="center"/>
    </xf>
    <xf numFmtId="0" fontId="21" fillId="13" borderId="10" xfId="0" applyFont="1" applyFill="1" applyBorder="1" applyAlignment="1">
      <alignment horizontal="center"/>
    </xf>
    <xf numFmtId="43" fontId="29" fillId="0" borderId="0" xfId="3" applyFont="1"/>
    <xf numFmtId="10" fontId="29" fillId="0" borderId="0" xfId="1" applyNumberFormat="1" applyFont="1"/>
    <xf numFmtId="179" fontId="37" fillId="0" borderId="0" xfId="3" applyNumberFormat="1" applyFont="1" applyFill="1" applyBorder="1" applyAlignment="1"/>
    <xf numFmtId="176" fontId="26" fillId="0" borderId="0" xfId="0" applyNumberFormat="1" applyFont="1"/>
    <xf numFmtId="179" fontId="6" fillId="14" borderId="3" xfId="3" applyNumberFormat="1" applyFont="1" applyFill="1" applyBorder="1"/>
    <xf numFmtId="179" fontId="6" fillId="14" borderId="3" xfId="3" quotePrefix="1" applyNumberFormat="1" applyFont="1" applyFill="1" applyBorder="1" applyAlignment="1"/>
    <xf numFmtId="0" fontId="20" fillId="0" borderId="0" xfId="0" applyFont="1" applyAlignment="1">
      <alignment horizontal="center"/>
    </xf>
    <xf numFmtId="178" fontId="5" fillId="0" borderId="0" xfId="1" applyNumberFormat="1" applyFont="1" applyFill="1"/>
    <xf numFmtId="10" fontId="28" fillId="0" borderId="0" xfId="0" applyNumberFormat="1" applyFont="1"/>
    <xf numFmtId="9" fontId="26" fillId="3" borderId="0" xfId="1" applyFont="1" applyFill="1"/>
    <xf numFmtId="178" fontId="35" fillId="0" borderId="0" xfId="1" applyNumberFormat="1" applyFont="1"/>
    <xf numFmtId="0" fontId="28" fillId="0" borderId="0" xfId="0" applyFont="1" applyAlignment="1">
      <alignment horizontal="center"/>
    </xf>
    <xf numFmtId="179" fontId="28" fillId="0" borderId="0" xfId="3" applyNumberFormat="1" applyFont="1" applyAlignment="1">
      <alignment horizontal="center"/>
    </xf>
    <xf numFmtId="179" fontId="20" fillId="3" borderId="0" xfId="3" applyNumberFormat="1" applyFont="1" applyFill="1"/>
    <xf numFmtId="179" fontId="31" fillId="3" borderId="0" xfId="3" applyNumberFormat="1" applyFont="1" applyFill="1"/>
    <xf numFmtId="3" fontId="28" fillId="0" borderId="0" xfId="0" applyNumberFormat="1" applyFont="1" applyAlignment="1">
      <alignment horizontal="center"/>
    </xf>
    <xf numFmtId="179" fontId="28" fillId="0" borderId="0" xfId="3" applyNumberFormat="1" applyFont="1" applyFill="1" applyBorder="1" applyAlignment="1">
      <alignment horizontal="center"/>
    </xf>
    <xf numFmtId="0" fontId="15" fillId="2" borderId="0" xfId="0" applyFont="1" applyFill="1" applyAlignment="1">
      <alignment horizontal="center"/>
    </xf>
    <xf numFmtId="178" fontId="5" fillId="4" borderId="0" xfId="1" applyNumberFormat="1" applyFont="1" applyFill="1"/>
    <xf numFmtId="178" fontId="0" fillId="4" borderId="0" xfId="1" applyNumberFormat="1" applyFont="1" applyFill="1"/>
    <xf numFmtId="169" fontId="28" fillId="3" borderId="0" xfId="0" applyNumberFormat="1" applyFont="1" applyFill="1"/>
    <xf numFmtId="179" fontId="1" fillId="0" borderId="0" xfId="3" applyNumberFormat="1" applyFont="1"/>
    <xf numFmtId="182" fontId="5" fillId="0" borderId="0" xfId="3" applyNumberFormat="1" applyFont="1"/>
    <xf numFmtId="182" fontId="5" fillId="0" borderId="0" xfId="3" applyNumberFormat="1" applyFont="1" applyFill="1" applyBorder="1" applyAlignment="1"/>
    <xf numFmtId="182" fontId="5" fillId="0" borderId="0" xfId="3" applyNumberFormat="1" applyFont="1" applyAlignment="1"/>
    <xf numFmtId="179" fontId="6" fillId="14" borderId="3" xfId="3" quotePrefix="1" applyNumberFormat="1" applyFont="1" applyFill="1" applyBorder="1"/>
    <xf numFmtId="0" fontId="28" fillId="14" borderId="3" xfId="0" applyFont="1" applyFill="1" applyBorder="1"/>
    <xf numFmtId="170" fontId="26" fillId="3" borderId="0" xfId="0" applyNumberFormat="1" applyFont="1" applyFill="1"/>
    <xf numFmtId="170" fontId="5" fillId="4" borderId="0" xfId="0" applyNumberFormat="1" applyFont="1" applyFill="1"/>
    <xf numFmtId="170" fontId="0" fillId="4" borderId="0" xfId="0" applyNumberFormat="1" applyFill="1"/>
    <xf numFmtId="179" fontId="5" fillId="0" borderId="0" xfId="3" quotePrefix="1" applyNumberFormat="1" applyFont="1" applyFill="1"/>
    <xf numFmtId="179" fontId="6" fillId="14" borderId="3" xfId="3" applyNumberFormat="1" applyFont="1" applyFill="1" applyBorder="1" applyAlignment="1">
      <alignment horizontal="center"/>
    </xf>
    <xf numFmtId="0" fontId="5" fillId="0" borderId="0" xfId="0" quotePrefix="1" applyFont="1"/>
    <xf numFmtId="14" fontId="5" fillId="0" borderId="0" xfId="0" applyNumberFormat="1" applyFont="1"/>
    <xf numFmtId="1" fontId="5" fillId="0" borderId="0" xfId="0" applyNumberFormat="1" applyFont="1"/>
    <xf numFmtId="0" fontId="2" fillId="3" borderId="0" xfId="0" applyFont="1" applyFill="1" applyAlignment="1">
      <alignment horizontal="center"/>
    </xf>
    <xf numFmtId="9" fontId="1" fillId="0" borderId="0" xfId="1" applyFont="1" applyAlignment="1">
      <alignment horizontal="center"/>
    </xf>
    <xf numFmtId="43" fontId="7" fillId="0" borderId="0" xfId="3" applyFont="1" applyAlignment="1">
      <alignment horizontal="center"/>
    </xf>
    <xf numFmtId="43" fontId="1" fillId="0" borderId="0" xfId="3" applyFont="1" applyAlignment="1">
      <alignment horizontal="center"/>
    </xf>
    <xf numFmtId="179" fontId="1" fillId="0" borderId="0" xfId="3" applyNumberFormat="1" applyFont="1" applyAlignment="1">
      <alignment horizontal="center"/>
    </xf>
    <xf numFmtId="169" fontId="28" fillId="0" borderId="0" xfId="0" applyNumberFormat="1" applyFont="1"/>
    <xf numFmtId="180" fontId="0" fillId="0" borderId="0" xfId="0" applyNumberFormat="1"/>
    <xf numFmtId="179" fontId="0" fillId="0" borderId="3" xfId="3" applyNumberFormat="1" applyFont="1" applyBorder="1"/>
    <xf numFmtId="172" fontId="5" fillId="0" borderId="0" xfId="0" applyNumberFormat="1" applyFont="1"/>
    <xf numFmtId="172" fontId="0" fillId="0" borderId="0" xfId="0" applyNumberFormat="1"/>
    <xf numFmtId="172" fontId="0" fillId="0" borderId="0" xfId="1" applyNumberFormat="1" applyFont="1"/>
    <xf numFmtId="172" fontId="0" fillId="0" borderId="0" xfId="1" applyNumberFormat="1" applyFont="1" applyAlignment="1">
      <alignment horizontal="center"/>
    </xf>
    <xf numFmtId="0" fontId="26" fillId="3" borderId="0" xfId="0" applyFont="1" applyFill="1"/>
    <xf numFmtId="179" fontId="0" fillId="3" borderId="0" xfId="3" applyNumberFormat="1" applyFont="1" applyFill="1"/>
    <xf numFmtId="179" fontId="26" fillId="3" borderId="0" xfId="3" applyNumberFormat="1" applyFont="1" applyFill="1"/>
    <xf numFmtId="179" fontId="28" fillId="3" borderId="0" xfId="3" applyNumberFormat="1" applyFont="1" applyFill="1"/>
    <xf numFmtId="175" fontId="26" fillId="3" borderId="0" xfId="0" applyNumberFormat="1" applyFont="1" applyFill="1"/>
    <xf numFmtId="168" fontId="26" fillId="3" borderId="0" xfId="0" applyNumberFormat="1" applyFont="1" applyFill="1"/>
    <xf numFmtId="43" fontId="5" fillId="0" borderId="0" xfId="3" applyFont="1"/>
    <xf numFmtId="43" fontId="3" fillId="6" borderId="3" xfId="3" applyFont="1" applyFill="1" applyBorder="1"/>
    <xf numFmtId="0" fontId="2" fillId="2" borderId="0" xfId="0" applyFont="1" applyFill="1" applyAlignment="1">
      <alignment horizontal="center"/>
    </xf>
    <xf numFmtId="0" fontId="5" fillId="0" borderId="0" xfId="0" applyFont="1" applyAlignment="1">
      <alignment horizontal="center" vertical="center"/>
    </xf>
    <xf numFmtId="0" fontId="2" fillId="3" borderId="0" xfId="0" applyFont="1" applyFill="1" applyAlignment="1">
      <alignment horizontal="center"/>
    </xf>
    <xf numFmtId="0" fontId="3" fillId="3" borderId="0" xfId="0" applyFont="1" applyFill="1" applyAlignment="1">
      <alignment horizontal="center"/>
    </xf>
  </cellXfs>
  <cellStyles count="4">
    <cellStyle name="Comma" xfId="3" builtinId="3"/>
    <cellStyle name="Currency" xfId="2" builtinId="4"/>
    <cellStyle name="Normal" xfId="0" builtinId="0"/>
    <cellStyle name="Percent" xfId="1" builtinId="5"/>
  </cellStyles>
  <dxfs count="10"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colors>
    <mruColors>
      <color rgb="FF0000FF"/>
      <color rgb="FFFA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bofaddin.rtdserver">
      <tp t="s">
        <v>#N/A N/A</v>
        <stp/>
        <stp>BDP|16876127436298726602</stp>
        <tr r="H55" s="25"/>
      </tp>
      <tp t="s">
        <v>#N/A N/A</v>
        <stp/>
        <stp>BDP|15352194308826719895</stp>
        <tr r="F165" s="2"/>
        <tr r="F165" s="2"/>
      </tp>
      <tp t="s">
        <v>#N/A N/A</v>
        <stp/>
        <stp>BDP|16581030067203959943</stp>
        <tr r="D13" s="14"/>
      </tp>
      <tp t="s">
        <v>#N/A N/A</v>
        <stp/>
        <stp>BDP|13217897469274827346</stp>
        <tr r="E11" s="14"/>
      </tp>
      <tp t="s">
        <v>#N/A Requesting Data...3962258496</v>
        <stp/>
        <stp>BDP|10138069727490598859</stp>
        <tr r="E7" s="13"/>
      </tp>
      <tp t="s">
        <v>#N/A N/A</v>
        <stp/>
        <stp>BDP|11917537242538982221</stp>
        <tr r="F129" s="2"/>
        <tr r="F129" s="2"/>
      </tp>
      <tp t="s">
        <v>#N/A N/A</v>
        <stp/>
        <stp>BDP|13609811892191207940</stp>
        <tr r="F8" s="14"/>
      </tp>
      <tp t="s">
        <v>#N/A N/A</v>
        <stp/>
        <stp>BDP|15946500721818359094</stp>
        <tr r="E54" s="2"/>
      </tp>
      <tp t="s">
        <v>#N/A Requesting Data...4293829414</v>
        <stp/>
        <stp>BDP|11951836969735767064</stp>
        <tr r="L12" s="28"/>
        <tr r="L12" s="28"/>
      </tp>
      <tp t="s">
        <v>#N/A N/A</v>
        <stp/>
        <stp>BDP|11224205245968730556</stp>
        <tr r="I60" s="2"/>
        <tr r="I60" s="2"/>
      </tp>
      <tp t="s">
        <v>#N/A Requesting Data...4073494843</v>
        <stp/>
        <stp>BDP|13546453290574620038</stp>
        <tr r="N7" s="28"/>
        <tr r="N7" s="28"/>
      </tp>
      <tp t="s">
        <v>#N/A N/A</v>
        <stp/>
        <stp>BDP|11840086354528796676</stp>
        <tr r="H9" s="25"/>
      </tp>
      <tp t="s">
        <v>#N/A N/A</v>
        <stp/>
        <stp>BDP|18367133350702111451</stp>
        <tr r="G148" s="2"/>
        <tr r="G148" s="2"/>
      </tp>
      <tp t="s">
        <v>#N/A Requesting Data...3843438677</v>
        <stp/>
        <stp>BDP|17476647227958215134</stp>
        <tr r="F21" s="28"/>
        <tr r="F21" s="28"/>
      </tp>
      <tp t="s">
        <v>#N/A N/A</v>
        <stp/>
        <stp>BDP|17058549892250951033</stp>
        <tr r="I92" s="2"/>
        <tr r="I92" s="2"/>
      </tp>
      <tp t="s">
        <v>#N/A N/A</v>
        <stp/>
        <stp>BDP|10496257833532353809</stp>
        <tr r="F54" s="2"/>
      </tp>
      <tp t="s">
        <v>#N/A Requesting Data...3819361854</v>
        <stp/>
        <stp>BDP|10523948129036191684</stp>
        <tr r="O7" s="28"/>
        <tr r="O7" s="28"/>
      </tp>
      <tp t="s">
        <v>#N/A N/A</v>
        <stp/>
        <stp>BDP|14391992668664191406</stp>
        <tr r="AB12" s="13"/>
        <tr r="AB12" s="13"/>
      </tp>
      <tp t="s">
        <v>#N/A Requesting Data...3785610811</v>
        <stp/>
        <stp>BDP|15196938160569534840</stp>
        <tr r="M18" s="28"/>
        <tr r="M18" s="28"/>
      </tp>
      <tp t="s">
        <v>#N/A N/A</v>
        <stp/>
        <stp>BDP|15533586132129817151</stp>
        <tr r="H164" s="2"/>
        <tr r="H164" s="2"/>
      </tp>
      <tp t="s">
        <v>#N/A Requesting Data...4000677865</v>
        <stp/>
        <stp>BDP|16303435021779060242</stp>
        <tr r="F17" s="28"/>
        <tr r="F17" s="28"/>
      </tp>
      <tp t="s">
        <v>#N/A Requesting Data...4172798951</v>
        <stp/>
        <stp>BDP|16411872020001721638</stp>
        <tr r="I16" s="28"/>
        <tr r="I16" s="28"/>
      </tp>
      <tp t="s">
        <v>#N/A N/A</v>
        <stp/>
        <stp>BDP|13587331751978005601</stp>
        <tr r="E54" s="25"/>
        <tr r="E54" s="25"/>
      </tp>
      <tp t="s">
        <v>#N/A N/A</v>
        <stp/>
        <stp>BDP|13813504370289591044</stp>
        <tr r="G95" s="2"/>
        <tr r="G95" s="2"/>
      </tp>
      <tp t="s">
        <v>#N/A N/A</v>
        <stp/>
        <stp>BDP|11620179229838202225</stp>
        <tr r="F137" s="2"/>
        <tr r="F137" s="2"/>
      </tp>
      <tp t="s">
        <v>#N/A Requesting Data...4275797485</v>
        <stp/>
        <stp>BDP|10892906454961495533</stp>
        <tr r="G7" s="28"/>
        <tr r="G7" s="28"/>
        <tr r="G4" s="4"/>
      </tp>
      <tp t="s">
        <v>#N/A N/A</v>
        <stp/>
        <stp>BDP|16095529999495175702</stp>
        <tr r="E136" s="2"/>
        <tr r="E136" s="2"/>
      </tp>
      <tp t="s">
        <v>#N/A Requesting Data...3766650690</v>
        <stp/>
        <stp>BDP|11832010764619347641</stp>
        <tr r="I14" s="28"/>
        <tr r="I14" s="28"/>
      </tp>
      <tp t="s">
        <v>#N/A N/A</v>
        <stp/>
        <stp>BDP|16881425592140644332</stp>
        <tr r="I130" s="2"/>
        <tr r="I130" s="2"/>
      </tp>
      <tp t="s">
        <v>#N/A N/A</v>
        <stp/>
        <stp>BDP|11102073089653282201</stp>
        <tr r="I86" s="2"/>
        <tr r="I86" s="2"/>
      </tp>
      <tp t="s">
        <v>#N/A N/A</v>
        <stp/>
        <stp>BDP|12326495180383124579</stp>
        <tr r="F89" s="2"/>
        <tr r="F89" s="2"/>
      </tp>
      <tp t="s">
        <v>#N/A N/A</v>
        <stp/>
        <stp>BDP|15952517498264951556</stp>
        <tr r="I131" s="2"/>
      </tp>
      <tp t="s">
        <v>#N/A Requesting Data...4140770535</v>
        <stp/>
        <stp>BDP|14765935688878189534</stp>
        <tr r="O18" s="28"/>
        <tr r="O18" s="28"/>
      </tp>
      <tp t="s">
        <v>#N/A N/A</v>
        <stp/>
        <stp>BDP|12302334218709918112</stp>
        <tr r="G131" s="2"/>
      </tp>
      <tp t="s">
        <v>#N/A Requesting Data...4047999540</v>
        <stp/>
        <stp>BDP|18112072304577405766</stp>
        <tr r="E5" s="13"/>
      </tp>
      <tp t="s">
        <v>#N/A N/A</v>
        <stp/>
        <stp>BDP|10100206575859757407</stp>
        <tr r="K9" s="28"/>
        <tr r="K9" s="28"/>
      </tp>
      <tp t="s">
        <v>#N/A Requesting Data...4103560265</v>
        <stp/>
        <stp>BDP|15833787380461297372</stp>
        <tr r="M20" s="28"/>
        <tr r="M20" s="28"/>
      </tp>
      <tp t="s">
        <v>#N/A N/A</v>
        <stp/>
        <stp>BDP|13351827567870453562</stp>
        <tr r="G48" s="2"/>
      </tp>
      <tp t="s">
        <v>#N/A Requesting Data...4269277972</v>
        <stp/>
        <stp>BDP|11234358308798197364</stp>
        <tr r="J17" s="28"/>
        <tr r="J17" s="28"/>
      </tp>
      <tp t="s">
        <v>#N/A Requesting Data...3854114081</v>
        <stp/>
        <stp>BDP|12887678685933914696</stp>
        <tr r="F7" s="13"/>
      </tp>
      <tp t="s">
        <v>#N/A Requesting Data...3829269981</v>
        <stp/>
        <stp>BDP|10254376037839872001</stp>
        <tr r="O10" s="28"/>
        <tr r="O10" s="28"/>
      </tp>
      <tp t="s">
        <v>#N/A N/A</v>
        <stp/>
        <stp>BDP|16886649467458555737</stp>
        <tr r="F92" s="2"/>
        <tr r="F92" s="2"/>
      </tp>
      <tp t="s">
        <v>#N/A N/A</v>
        <stp/>
        <stp>BDP|15288126522087457892</stp>
        <tr r="I66" s="2"/>
      </tp>
      <tp t="s">
        <v>#N/A N/A</v>
        <stp/>
        <stp>BDP|18265873523452854905</stp>
        <tr r="E89" s="2"/>
        <tr r="E89" s="2"/>
      </tp>
      <tp t="s">
        <v>#N/A N/A</v>
        <stp/>
        <stp>BDP|13824962236575123583</stp>
        <tr r="F164" s="2"/>
        <tr r="F164" s="2"/>
      </tp>
      <tp t="s">
        <v>#N/A Requesting Data...3803032519</v>
        <stp/>
        <stp>BDP|11358074592907160644</stp>
        <tr r="J11" s="28"/>
        <tr r="J11" s="28"/>
      </tp>
      <tp t="s">
        <v>#N/A Requesting Data...3962249830</v>
        <stp/>
        <stp>BDP|10107883206369988841</stp>
        <tr r="E17" s="28"/>
        <tr r="E17" s="28"/>
      </tp>
      <tp t="s">
        <v>#N/A N/A</v>
        <stp/>
        <stp>BDP|16299753882450315030</stp>
        <tr r="AD14" s="13"/>
      </tp>
      <tp t="s">
        <v>#N/A Requesting Data...3831324318</v>
        <stp/>
        <stp>BDP|17317864120680476444</stp>
        <tr r="I21" s="28"/>
        <tr r="I21" s="28"/>
      </tp>
      <tp t="s">
        <v>#N/A N/A</v>
        <stp/>
        <stp>BDP|13275173127970339952</stp>
        <tr r="D11" s="14"/>
      </tp>
      <tp t="s">
        <v>#N/A Requesting Data...3923791293</v>
        <stp/>
        <stp>BDP|17843363636609763045</stp>
        <tr r="M14" s="28"/>
        <tr r="M14" s="28"/>
      </tp>
      <tp t="s">
        <v>#N/A Requesting Data...3882688556</v>
        <stp/>
        <stp>BDP|14378980453684710255</stp>
        <tr r="M16" s="28"/>
        <tr r="M16" s="28"/>
      </tp>
      <tp t="s">
        <v>#N/A N/A</v>
        <stp/>
        <stp>BDP|11184929520165129130</stp>
        <tr r="H89" s="2"/>
        <tr r="H89" s="2"/>
      </tp>
      <tp t="s">
        <v>#N/A Requesting Data...3957207283</v>
        <stp/>
        <stp>BDP|10252760814690775841</stp>
        <tr r="G94" s="13"/>
        <tr r="G99" s="13"/>
        <tr r="G84" s="13"/>
        <tr r="G26" s="13"/>
        <tr r="G62" s="13"/>
        <tr r="G102" s="13"/>
        <tr r="G34" s="13"/>
        <tr r="G97" s="13"/>
        <tr r="G98" s="13"/>
        <tr r="G53" s="13"/>
        <tr r="G17" s="13"/>
        <tr r="G18" s="13"/>
        <tr r="G73" s="13"/>
        <tr r="G43" s="13"/>
        <tr r="G54" s="13"/>
        <tr r="G74" s="13"/>
        <tr r="G11" s="13"/>
        <tr r="G28" s="13"/>
        <tr r="G46" s="13"/>
        <tr r="G66" s="13"/>
        <tr r="G77" s="13"/>
        <tr r="G35" s="13"/>
        <tr r="G45" s="13"/>
        <tr r="G47" s="13"/>
        <tr r="G55" s="13"/>
        <tr r="G20" s="13"/>
        <tr r="G38" s="13"/>
        <tr r="G56" s="13"/>
        <tr r="G78" s="13"/>
        <tr r="G9" s="13"/>
        <tr r="G48" s="13"/>
        <tr r="G67" s="13"/>
        <tr r="G64" s="13"/>
        <tr r="G27" s="13"/>
        <tr r="G88" s="13"/>
        <tr r="G12" s="13"/>
        <tr r="G13" s="13"/>
        <tr r="G21" s="13"/>
        <tr r="G31" s="13"/>
        <tr r="G39" s="13"/>
        <tr r="G57" s="13"/>
        <tr r="G8" s="13"/>
        <tr r="G91" s="13"/>
        <tr r="G65" s="13"/>
        <tr r="G92" s="13"/>
        <tr r="G40" s="13"/>
        <tr r="G14" s="13"/>
        <tr r="G32" s="13"/>
        <tr r="G59" s="13"/>
        <tr r="G70" s="13"/>
        <tr r="G80" s="13"/>
        <tr r="G69" s="13"/>
        <tr r="G10" s="13"/>
        <tr r="G24" s="13"/>
        <tr r="G16" s="13"/>
        <tr r="G41" s="13"/>
        <tr r="G50" s="13"/>
        <tr r="G61" s="13"/>
        <tr r="G71" s="13"/>
        <tr r="G81" s="13"/>
        <tr r="G96" s="13"/>
        <tr r="G103" s="13"/>
        <tr r="G87" s="13"/>
        <tr r="G19" s="13"/>
        <tr r="G36" s="13"/>
        <tr r="G23" s="13"/>
        <tr r="G49" s="13"/>
        <tr r="G58" s="13"/>
        <tr r="G100" s="13"/>
        <tr r="G25" s="13"/>
        <tr r="G33" s="13"/>
        <tr r="G42" s="13"/>
        <tr r="G82" s="13"/>
        <tr r="G22" s="13"/>
        <tr r="G60" s="13"/>
        <tr r="G75" s="13"/>
        <tr r="G83" s="13"/>
        <tr r="G90" s="13"/>
        <tr r="G29" s="13"/>
        <tr r="G51" s="13"/>
        <tr r="G101" s="13"/>
        <tr r="G15" s="13"/>
        <tr r="G30" s="13"/>
        <tr r="G37" s="13"/>
        <tr r="G44" s="13"/>
        <tr r="G52" s="13"/>
        <tr r="G68" s="13"/>
        <tr r="G76" s="13"/>
        <tr r="G85" s="13"/>
        <tr r="G93" s="13"/>
        <tr r="G79" s="13"/>
        <tr r="G63" s="13"/>
        <tr r="G72" s="13"/>
        <tr r="G86" s="13"/>
        <tr r="G95" s="13"/>
        <tr r="G89" s="13"/>
      </tp>
      <tp t="s">
        <v>#N/A N/A</v>
        <stp/>
        <stp>BDP|17788174331269225211</stp>
        <tr r="I165" s="2"/>
        <tr r="I165" s="2"/>
      </tp>
      <tp t="s">
        <v>#N/A Requesting Data...3911403539</v>
        <stp/>
        <stp>BDP|17503938904922787206</stp>
        <tr r="I7" s="28"/>
        <tr r="I7" s="28"/>
      </tp>
      <tp t="s">
        <v>#N/A N/A</v>
        <stp/>
        <stp>BDP|13694519789059303983</stp>
        <tr r="N9" s="28"/>
        <tr r="N9" s="28"/>
      </tp>
      <tp t="s">
        <v>#N/A Requesting Data...4281607092</v>
        <stp/>
        <stp>BDP|11177697310501544992</stp>
        <tr r="E6" s="13"/>
      </tp>
      <tp t="s">
        <v>#N/A Requesting Data...4091020427</v>
        <stp/>
        <stp>BDP|18040265363216437587</stp>
        <tr r="J21" s="28"/>
        <tr r="J21" s="28"/>
      </tp>
      <tp t="s">
        <v>#N/A Requesting Data...3883353329</v>
        <stp/>
        <stp>BDP|15671816452205961249</stp>
        <tr r="O14" s="28"/>
        <tr r="O14" s="28"/>
      </tp>
      <tp t="s">
        <v>#N/A Requesting Data...3905513430</v>
        <stp/>
        <stp>BDP|12919587638828778353</stp>
        <tr r="G17" s="6"/>
      </tp>
      <tp t="s">
        <v>#N/A N/A</v>
        <stp/>
        <stp>BDP|11646167397390866653</stp>
        <tr r="F86" s="2"/>
        <tr r="F86" s="2"/>
      </tp>
      <tp t="s">
        <v>#N/A N/A</v>
        <stp/>
        <stp>BDP|16741516446501512981</stp>
        <tr r="H150" s="2"/>
        <tr r="H150" s="2"/>
      </tp>
      <tp t="s">
        <v>#N/A Requesting Data...4012753724</v>
        <stp/>
        <stp>BDP|17703601429574495879</stp>
        <tr r="G13" s="28"/>
        <tr r="G13" s="28"/>
      </tp>
      <tp t="s">
        <v>#N/A N/A</v>
        <stp/>
        <stp>BDP|13307357674568928044</stp>
        <tr r="F166" s="2"/>
      </tp>
      <tp t="s">
        <v>#N/A Requesting Data...3931625915</v>
        <stp/>
        <stp>BDP|10328271066662377922</stp>
        <tr r="T43" s="16"/>
      </tp>
      <tp t="s">
        <v>#N/A N/A</v>
        <stp/>
        <stp>BDP|10920345269459723366</stp>
        <tr r="E57" s="2"/>
      </tp>
      <tp t="s">
        <v>#N/A N/A</v>
        <stp/>
        <stp>BDP|11880710639912617835</stp>
        <tr r="AA10" s="13"/>
      </tp>
      <tp t="s">
        <v>#N/A Requesting Data...4231078534</v>
        <stp/>
        <stp>BDP|18047382688559081540</stp>
        <tr r="D6" s="13"/>
      </tp>
      <tp t="s">
        <v>#N/A N/A</v>
        <stp/>
        <stp>BDP|11168209387640270432</stp>
        <tr r="AC12" s="13"/>
        <tr r="AC12" s="13"/>
      </tp>
      <tp t="s">
        <v>#N/A N/A</v>
        <stp/>
        <stp>BDP|15360304663018231755</stp>
        <tr r="I57" s="2"/>
      </tp>
      <tp t="s">
        <v>#N/A Requesting Data...4251328132</v>
        <stp/>
        <stp>BDP|14664448879163075826</stp>
        <tr r="M13" s="28"/>
        <tr r="M13" s="28"/>
      </tp>
      <tp t="s">
        <v>#N/A N/A</v>
        <stp/>
        <stp>BDP|18044135773323086183</stp>
        <tr r="G51" s="2"/>
      </tp>
      <tp t="s">
        <v>#N/A Requesting Data...4270153819</v>
        <stp/>
        <stp>BDP|13192727936822980948</stp>
        <tr r="E7" s="28"/>
        <tr r="E7" s="28"/>
        <tr r="D6" s="16"/>
      </tp>
      <tp t="s">
        <v>#N/A N/A</v>
        <stp/>
        <stp>BDP|11353865467586908531</stp>
        <tr r="G86" s="2"/>
        <tr r="G86" s="2"/>
      </tp>
      <tp t="s">
        <v>#N/A Requesting Data...4024072886</v>
        <stp/>
        <stp>BDP|10102466305089804110</stp>
        <tr r="K17" s="28"/>
        <tr r="K17" s="28"/>
      </tp>
      <tp t="s">
        <v>#N/A N/A</v>
        <stp/>
        <stp>BDP|16565222368729043751</stp>
        <tr r="F148" s="2"/>
        <tr r="F148" s="2"/>
      </tp>
      <tp t="s">
        <v>#N/A N/A</v>
        <stp/>
        <stp>BDP|14853079326403314953</stp>
        <tr r="F57" s="2"/>
      </tp>
      <tp t="s">
        <v>#N/A N/A</v>
        <stp/>
        <stp>BDP|14039527426328102740</stp>
        <tr r="F117" s="2"/>
      </tp>
      <tp t="s">
        <v>#N/A N/A</v>
        <stp/>
        <stp>BDP|16944420169299696146</stp>
        <tr r="F79" s="2"/>
        <tr r="F79" s="2"/>
      </tp>
      <tp t="s">
        <v>#N/A N/A</v>
        <stp/>
        <stp>BDP|10778732965748100536</stp>
        <tr r="I128" s="2"/>
      </tp>
      <tp t="s">
        <v>#N/A N/A</v>
        <stp/>
        <stp>BDP|11121457973168639638</stp>
        <tr r="G130" s="2"/>
        <tr r="G130" s="2"/>
      </tp>
      <tp t="s">
        <v>#N/A N/A</v>
        <stp/>
        <stp>BDP|18368330406673734432</stp>
        <tr r="G155" s="2"/>
        <tr r="G155" s="2"/>
      </tp>
      <tp t="s">
        <v>#N/A Requesting Data...4289255652</v>
        <stp/>
        <stp>BDP|13491161635885082802</stp>
        <tr r="K19" s="28"/>
        <tr r="K19" s="28"/>
      </tp>
      <tp t="s">
        <v>#N/A N/A</v>
        <stp/>
        <stp>BDP|12894636256695924825</stp>
        <tr r="E164" s="2"/>
        <tr r="E164" s="2"/>
      </tp>
      <tp t="s">
        <v>#N/A Requesting Data...4223607193</v>
        <stp/>
        <stp>BDP|10475720082776635543</stp>
        <tr r="D8" s="16"/>
      </tp>
      <tp t="s">
        <v>#N/A Requesting Data...4127879815</v>
        <stp/>
        <stp>BDP|18228231957985061608</stp>
        <tr r="G14" s="28"/>
        <tr r="G14" s="28"/>
      </tp>
      <tp t="s">
        <v>#N/A Requesting Data...4036656719</v>
        <stp/>
        <stp>BDP|14569938161801270754</stp>
        <tr r="T44" s="16"/>
      </tp>
      <tp t="s">
        <v>#N/A Requesting Data...4220104077</v>
        <stp/>
        <stp>BDP|12107662758038984455</stp>
        <tr r="O81" s="28"/>
        <tr r="O23" s="28"/>
        <tr r="O47" s="28"/>
        <tr r="O63" s="28"/>
        <tr r="O33" s="28"/>
        <tr r="O26" s="28"/>
        <tr r="O30" s="28"/>
        <tr r="O96" s="28"/>
        <tr r="O91" s="28"/>
        <tr r="O46" s="28"/>
        <tr r="O93" s="28"/>
        <tr r="O57" s="28"/>
        <tr r="O98" s="28"/>
        <tr r="O37" s="28"/>
        <tr r="O43" s="28"/>
        <tr r="O87" s="28"/>
        <tr r="O62" s="28"/>
        <tr r="O41" s="28"/>
        <tr r="O44" s="28"/>
        <tr r="O48" s="28"/>
        <tr r="O42" s="28"/>
        <tr r="O85" s="28"/>
        <tr r="O101" s="28"/>
        <tr r="O94" s="28"/>
        <tr r="O74" s="28"/>
        <tr r="O99" s="28"/>
        <tr r="O72" s="28"/>
        <tr r="O76" s="28"/>
        <tr r="O66" s="28"/>
        <tr r="O29" s="28"/>
        <tr r="O34" s="28"/>
        <tr r="O97" s="28"/>
        <tr r="O70" s="28"/>
        <tr r="O67" s="28"/>
        <tr r="O61" s="28"/>
        <tr r="O69" s="28"/>
        <tr r="O52" s="28"/>
        <tr r="O51" s="28"/>
        <tr r="O64" s="28"/>
        <tr r="O75" s="28"/>
        <tr r="O90" s="28"/>
        <tr r="O103" s="28"/>
        <tr r="O24" s="28"/>
        <tr r="O65" s="28"/>
        <tr r="O25" s="28"/>
        <tr r="O73" s="28"/>
        <tr r="O83" s="28"/>
        <tr r="O40" s="28"/>
        <tr r="O84" s="28"/>
        <tr r="O50" s="28"/>
        <tr r="O100" s="28"/>
        <tr r="O28" s="28"/>
        <tr r="O86" s="28"/>
        <tr r="O102" s="28"/>
        <tr r="O35" s="28"/>
        <tr r="O54" s="28"/>
        <tr r="O36" s="28"/>
        <tr r="O92" s="28"/>
        <tr r="O104" s="28"/>
        <tr r="O78" s="28"/>
        <tr r="O38" s="28"/>
        <tr r="O59" s="28"/>
        <tr r="O105" s="28"/>
        <tr r="O39" s="28"/>
        <tr r="O60" s="28"/>
        <tr r="O82" s="28"/>
        <tr r="O27" s="28"/>
        <tr r="O53" s="28"/>
        <tr r="O77" s="28"/>
        <tr r="O95" s="28"/>
        <tr r="O31" s="28"/>
        <tr r="O55" s="28"/>
        <tr r="O79" s="28"/>
        <tr r="O88" s="28"/>
        <tr r="O106" s="28"/>
        <tr r="O45" s="28"/>
        <tr r="O68" s="28"/>
        <tr r="O80" s="28"/>
        <tr r="O32" s="28"/>
        <tr r="O56" s="28"/>
        <tr r="O71" s="28"/>
        <tr r="O89" s="28"/>
        <tr r="O22" s="28"/>
        <tr r="O49" s="28"/>
        <tr r="O58" s="28"/>
      </tp>
      <tp t="s">
        <v>#N/A Requesting Data...4005993637</v>
        <stp/>
        <stp>BDP|10344875903813163647</stp>
        <tr r="L11" s="28"/>
        <tr r="L11" s="28"/>
      </tp>
      <tp t="s">
        <v>#N/A Requesting Data...4100779777</v>
        <stp/>
        <stp>BDP|18266843914824664865</stp>
        <tr r="D99" s="13"/>
        <tr r="D102" s="13"/>
        <tr r="D98" s="13"/>
        <tr r="D84" s="13"/>
        <tr r="D13" s="13"/>
        <tr r="D67" s="13"/>
        <tr r="D31" s="13"/>
        <tr r="D49" s="13"/>
        <tr r="D17" s="13"/>
        <tr r="D36" s="13"/>
        <tr r="D54" s="13"/>
        <tr r="D89" s="13"/>
        <tr r="D88" s="13"/>
        <tr r="D18" s="13"/>
        <tr r="D72" s="13"/>
        <tr r="D19" s="13"/>
        <tr r="D37" s="13"/>
        <tr r="D55" s="13"/>
        <tr r="D73" s="13"/>
        <tr r="D9" s="13"/>
        <tr r="D53" s="13"/>
        <tr r="D10" s="13"/>
        <tr r="D25" s="13"/>
        <tr r="D43" s="13"/>
        <tr r="D61" s="13"/>
        <tr r="D79" s="13"/>
        <tr r="D95" s="13"/>
        <tr r="D100" s="13"/>
        <tr r="D26" s="13"/>
        <tr r="D44" s="13"/>
        <tr r="D62" s="13"/>
        <tr r="D8" s="13"/>
        <tr r="D97" s="13"/>
        <tr r="D35" s="13"/>
        <tr r="D71" s="13"/>
        <tr r="D103" s="13"/>
        <tr r="D28" s="13"/>
        <tr r="D46" s="13"/>
        <tr r="D64" s="13"/>
        <tr r="D81" s="13"/>
        <tr r="D11" s="13"/>
        <tr r="D20" s="13"/>
        <tr r="D29" s="13"/>
        <tr r="D38" s="13"/>
        <tr r="D47" s="13"/>
        <tr r="D56" s="13"/>
        <tr r="D65" s="13"/>
        <tr r="D74" s="13"/>
        <tr r="D82" s="13"/>
        <tr r="D90" s="13"/>
        <tr r="D12" s="13"/>
        <tr r="D22" s="13"/>
        <tr r="D30" s="13"/>
        <tr r="D40" s="13"/>
        <tr r="D48" s="13"/>
        <tr r="D58" s="13"/>
        <tr r="D66" s="13"/>
        <tr r="D76" s="13"/>
        <tr r="D83" s="13"/>
        <tr r="D92" s="13"/>
        <tr r="D14" s="13"/>
        <tr r="D23" s="13"/>
        <tr r="D32" s="13"/>
        <tr r="D41" s="13"/>
        <tr r="D50" s="13"/>
        <tr r="D59" s="13"/>
        <tr r="D68" s="13"/>
        <tr r="D77" s="13"/>
        <tr r="D85" s="13"/>
        <tr r="D93" s="13"/>
        <tr r="D16" s="13"/>
        <tr r="D24" s="13"/>
        <tr r="D34" s="13"/>
        <tr r="D42" s="13"/>
        <tr r="D52" s="13"/>
        <tr r="D60" s="13"/>
        <tr r="D70" s="13"/>
        <tr r="D78" s="13"/>
        <tr r="D87" s="13"/>
        <tr r="D94" s="13"/>
        <tr r="D96" s="13"/>
        <tr r="D101" s="13"/>
        <tr r="D15" s="13"/>
        <tr r="D21" s="13"/>
        <tr r="D27" s="13"/>
        <tr r="D33" s="13"/>
        <tr r="D39" s="13"/>
        <tr r="D45" s="13"/>
        <tr r="D51" s="13"/>
        <tr r="D57" s="13"/>
        <tr r="D63" s="13"/>
        <tr r="D69" s="13"/>
        <tr r="D75" s="13"/>
        <tr r="D80" s="13"/>
        <tr r="D86" s="13"/>
        <tr r="D91" s="13"/>
      </tp>
      <tp t="s">
        <v>#N/A Requesting Data...4225224520</v>
        <stp/>
        <stp>BDP|10584965768971440388</stp>
        <tr r="M10" s="28"/>
        <tr r="M10" s="28"/>
      </tp>
      <tp t="s">
        <v>#N/A N/A</v>
        <stp/>
        <stp>BDP|15069263769126269558</stp>
        <tr r="G149" s="2"/>
        <tr r="G149" s="2"/>
      </tp>
      <tp t="s">
        <v>#N/A N/A</v>
        <stp/>
        <stp>BDP|10737640956946828770</stp>
        <tr r="G116" s="2"/>
        <tr r="G116" s="2"/>
      </tp>
      <tp t="s">
        <v>#N/A N/A</v>
        <stp/>
        <stp>BDP|14124767768546311117</stp>
        <tr r="G9" s="25"/>
      </tp>
      <tp t="s">
        <v>#N/A Requesting Data...4222716135</v>
        <stp/>
        <stp>BDP|17592691611543461183</stp>
        <tr r="F5" s="13"/>
      </tp>
      <tp t="s">
        <v>#N/A N/A</v>
        <stp/>
        <stp>BDP|12140150809760989118</stp>
        <tr r="E56" s="25"/>
        <tr r="E56" s="25"/>
      </tp>
      <tp t="s">
        <v>#N/A Requesting Data...3884123747</v>
        <stp/>
        <stp>BDP|14915686417870262101</stp>
        <tr r="H6" s="16"/>
      </tp>
      <tp t="s">
        <v>#N/A N/A</v>
        <stp/>
        <stp>BDP|17183364559313075099</stp>
        <tr r="E95" s="2"/>
        <tr r="E95" s="2"/>
      </tp>
      <tp t="s">
        <v>#N/A Requesting Data...4004829542</v>
        <stp/>
        <stp>BDP|16423183835301922775</stp>
        <tr r="N13" s="28"/>
        <tr r="N13" s="28"/>
      </tp>
      <tp t="s">
        <v>#N/A Requesting Data...4002667743</v>
        <stp/>
        <stp>BDP|17083282623445460169</stp>
        <tr r="E12" s="28"/>
        <tr r="E12" s="28"/>
      </tp>
      <tp t="s">
        <v>#N/A Requesting Data...4005983416</v>
        <stp/>
        <stp>BDP|14006194976267056663</stp>
        <tr r="H19" s="28"/>
        <tr r="H19" s="28"/>
      </tp>
      <tp t="s">
        <v>#N/A N/A</v>
        <stp/>
        <stp>BDP|15540619692248646182</stp>
        <tr r="H137" s="2"/>
        <tr r="H137" s="2"/>
      </tp>
      <tp t="s">
        <v>#N/A Requesting Data...3933490907</v>
        <stp/>
        <stp>BDP|10588191571413459624</stp>
        <tr r="F10" s="28"/>
        <tr r="F10" s="28"/>
      </tp>
      <tp t="s">
        <v>#N/A N/A</v>
        <stp/>
        <stp>BDP|11106725029535172219</stp>
        <tr r="H129" s="2"/>
        <tr r="H129" s="2"/>
      </tp>
      <tp t="s">
        <v>#N/A N/A</v>
        <stp/>
        <stp>BDP|16315399206532782416</stp>
        <tr r="G9" s="14"/>
      </tp>
      <tp t="s">
        <v>#N/A N/A</v>
        <stp/>
        <stp>BDP|13944306737115743535</stp>
        <tr r="G8" s="14"/>
      </tp>
      <tp t="s">
        <v>#N/A Requesting Data...3976242418</v>
        <stp/>
        <stp>BDP|13691322511332880009</stp>
        <tr r="K11" s="28"/>
        <tr r="K11" s="28"/>
      </tp>
      <tp t="s">
        <v>#N/A Requesting Data...3928809614</v>
        <stp/>
        <stp>BDP|10076117538613078243</stp>
        <tr r="O19" s="28"/>
        <tr r="O19" s="28"/>
      </tp>
      <tp t="s">
        <v>#N/A N/A</v>
        <stp/>
        <stp>BDP|11735772628544768322</stp>
        <tr r="I89" s="2"/>
        <tr r="I89" s="2"/>
      </tp>
      <tp t="s">
        <v>#N/A Requesting Data...3991291114</v>
        <stp/>
        <stp>BDP|12561520626265106311</stp>
        <tr r="F11" s="28"/>
        <tr r="F11" s="28"/>
      </tp>
      <tp t="s">
        <v>#N/A Requesting Data...4217344387</v>
        <stp/>
        <stp>BDP|14222268812190211477</stp>
        <tr r="L7" s="28"/>
        <tr r="L7" s="28"/>
        <tr r="D21" s="16"/>
        <tr r="D21" s="16"/>
      </tp>
      <tp t="s">
        <v>#N/A N/A</v>
        <stp/>
        <stp>BDP|13909293564006718210</stp>
        <tr r="G37" s="25"/>
      </tp>
      <tp t="s">
        <v>#N/A Requesting Data...4055695509</v>
        <stp/>
        <stp>BDP|12310145860164340265</stp>
        <tr r="E16" s="28"/>
        <tr r="E16" s="28"/>
      </tp>
      <tp t="s">
        <v>#N/A Requesting Data...4103391470</v>
        <stp/>
        <stp>BDP|17537592722043890032</stp>
        <tr r="O20" s="28"/>
        <tr r="O20" s="28"/>
      </tp>
      <tp t="s">
        <v>#N/A Requesting Data...3980350561</v>
        <stp/>
        <stp>BDP|15662433930024054501</stp>
        <tr r="K14" s="28"/>
        <tr r="K14" s="28"/>
      </tp>
      <tp t="s">
        <v>#N/A Requesting Data...4266634128</v>
        <stp/>
        <stp>BDP|11135615039295559290</stp>
        <tr r="E11" s="28"/>
        <tr r="E11" s="28"/>
      </tp>
      <tp t="s">
        <v>#N/A N/A</v>
        <stp/>
        <stp>BDP|13572462346842628243</stp>
        <tr r="H18" s="14"/>
      </tp>
      <tp t="s">
        <v>#N/A Requesting Data...4187233084</v>
        <stp/>
        <stp>BDP|16994053881028367664</stp>
        <tr r="L13" s="28"/>
        <tr r="L13" s="28"/>
      </tp>
      <tp t="s">
        <v>#N/A N/A</v>
        <stp/>
        <stp>BDP|12694621427292187492</stp>
        <tr r="H155" s="2"/>
        <tr r="H155" s="2"/>
      </tp>
      <tp t="s">
        <v>#N/A N/A</v>
        <stp/>
        <stp>BDP|11158103007619427995</stp>
        <tr r="O9" s="28"/>
        <tr r="O9" s="28"/>
      </tp>
      <tp t="s">
        <v>#N/A N/A</v>
        <stp/>
        <stp>BDP|17379617072321301798</stp>
        <tr r="E9" s="25"/>
      </tp>
      <tp t="s">
        <v>#N/A N/A</v>
        <stp/>
        <stp>BDP|12636263877346437198</stp>
        <tr r="E79" s="2"/>
        <tr r="E79" s="2"/>
      </tp>
      <tp t="s">
        <v>#N/A N/A</v>
        <stp/>
        <stp>BDP|15666299324205333022</stp>
        <tr r="H56" s="25"/>
        <tr r="H56" s="25"/>
      </tp>
      <tp t="s">
        <v>#N/A Requesting Data...4040886856</v>
        <stp/>
        <stp>BDP|14210717249611585600</stp>
        <tr r="H22" s="16"/>
      </tp>
      <tp t="s">
        <v>#N/A N/A</v>
        <stp/>
        <stp>BDP|14369747118391589345</stp>
        <tr r="I137" s="2"/>
        <tr r="I137" s="2"/>
      </tp>
      <tp t="s">
        <v>#N/A Requesting Data...3920211737</v>
        <stp/>
        <stp>BDP|12878771828381625609</stp>
        <tr r="D4" s="13"/>
      </tp>
      <tp t="s">
        <v>#N/A N/A</v>
        <stp/>
        <stp>BDP|11218759339106706390</stp>
        <tr r="H86" s="2"/>
        <tr r="H86" s="2"/>
      </tp>
      <tp t="s">
        <v>#N/A N/A</v>
        <stp/>
        <stp>BDP|17128513157561201657</stp>
        <tr r="H79" s="2"/>
        <tr r="H79" s="2"/>
      </tp>
      <tp t="s">
        <v>#N/A Requesting Data...4129665727</v>
        <stp/>
        <stp>BDP|13335175065483452757</stp>
        <tr r="M11" s="28"/>
        <tr r="M11" s="28"/>
      </tp>
      <tp t="s">
        <v>#N/A N/A</v>
        <stp/>
        <stp>BDP|14002852601399719537</stp>
        <tr r="F60" s="2"/>
        <tr r="F60" s="2"/>
      </tp>
      <tp t="s">
        <v>#N/A N/A</v>
        <stp/>
        <stp>BDP|16733737278974807277</stp>
        <tr r="F149" s="2"/>
        <tr r="F149" s="2"/>
      </tp>
      <tp t="s">
        <v>#N/A N/A</v>
        <stp/>
        <stp>BDP|11014320608112187084</stp>
        <tr r="H95" s="2"/>
        <tr r="H95" s="2"/>
      </tp>
      <tp t="s">
        <v>#N/A Requesting Data...4183656750</v>
        <stp/>
        <stp>BDP|10775833354055356818</stp>
        <tr r="G10" s="28"/>
        <tr r="G10" s="28"/>
      </tp>
      <tp t="s">
        <v>#N/A N/A</v>
        <stp/>
        <stp>BDP|11998823857448008492</stp>
        <tr r="G79" s="2"/>
        <tr r="G79" s="2"/>
      </tp>
      <tp t="s">
        <v>#N/A Requesting Data...4095106964</v>
        <stp/>
        <stp>BDP|14592008565765721724</stp>
        <tr r="G11" s="28"/>
        <tr r="G11" s="28"/>
      </tp>
      <tp t="s">
        <v>#N/A N/A</v>
        <stp/>
        <stp>BDP|13895635108047262250</stp>
        <tr r="H63" s="2"/>
      </tp>
      <tp t="s">
        <v>#N/A N/A</v>
        <stp/>
        <stp>BDP|12928675060201926339</stp>
        <tr r="H149" s="2"/>
        <tr r="H149" s="2"/>
      </tp>
      <tp t="s">
        <v>#N/A N/A</v>
        <stp/>
        <stp>BDP|13714074692748129277</stp>
        <tr r="I37" s="25"/>
      </tp>
      <tp t="s">
        <v>#N/A N/A</v>
        <stp/>
        <stp>BDP|17513814381055593248</stp>
        <tr r="E149" s="2"/>
        <tr r="E149" s="2"/>
      </tp>
      <tp t="s">
        <v>#N/A Requesting Data...4234725698</v>
        <stp/>
        <stp>BDP|15646827100899058434</stp>
        <tr r="F20" s="28"/>
        <tr r="F20" s="28"/>
      </tp>
      <tp t="s">
        <v>#N/A N/A</v>
        <stp/>
        <stp>BDP|12324200703634581422</stp>
        <tr r="H54" s="25"/>
        <tr r="H54" s="25"/>
      </tp>
      <tp t="s">
        <v>#N/A N/A</v>
        <stp/>
        <stp>BDP|10789002291651865897</stp>
        <tr r="M9" s="28"/>
        <tr r="M9" s="28"/>
      </tp>
      <tp t="s">
        <v>#N/A N/A</v>
        <stp/>
        <stp>BDP|18039706889733314508</stp>
        <tr r="AB14" s="13"/>
      </tp>
      <tp t="s">
        <v>#N/A N/A</v>
        <stp/>
        <stp>BDP|13453375729132607138</stp>
        <tr r="E9" s="14"/>
      </tp>
      <tp t="s">
        <v>#N/A Requesting Data...4278498494</v>
        <stp/>
        <stp>BDP|10942787724646716239</stp>
        <tr r="N19" s="28"/>
        <tr r="N19" s="28"/>
      </tp>
      <tp t="s">
        <v>#N/A N/A</v>
        <stp/>
        <stp>BDP|10159516079062881130</stp>
        <tr r="F9" s="25"/>
      </tp>
      <tp t="s">
        <v>#N/A Requesting Data...4206439892</v>
        <stp/>
        <stp>BDP|16530307601655047163</stp>
        <tr r="K13" s="28"/>
        <tr r="K13" s="28"/>
      </tp>
      <tp t="s">
        <v>#N/A N/A</v>
        <stp/>
        <stp>BDP|18416488064118849355</stp>
        <tr r="F136" s="2"/>
        <tr r="F136" s="2"/>
      </tp>
      <tp t="s">
        <v>#N/A Requesting Data...4210233221</v>
        <stp/>
        <stp>BDP|14528672637175027512</stp>
        <tr r="H21" s="28"/>
        <tr r="H21" s="28"/>
      </tp>
      <tp t="s">
        <v>#N/A N/A</v>
        <stp/>
        <stp>BDP|17545108702505808280</stp>
        <tr r="AC14" s="13"/>
      </tp>
      <tp t="s">
        <v>#N/A N/A</v>
        <stp/>
        <stp>BDP|17613720543220538550</stp>
        <tr r="G166" s="2"/>
      </tp>
      <tp t="s">
        <v>#N/A Requesting Data...4137143655</v>
        <stp/>
        <stp>BDP|14691632460957582588</stp>
        <tr r="G15" s="28"/>
        <tr r="G15" s="28"/>
      </tp>
      <tp t="s">
        <v>#N/A N/A</v>
        <stp/>
        <stp>BDP|16575391016614024613</stp>
        <tr r="E137" s="2"/>
        <tr r="E137" s="2"/>
      </tp>
      <tp t="s">
        <v>#N/A N/A</v>
        <stp/>
        <stp>BDP|10064209259205225410</stp>
        <tr r="H11" s="14"/>
      </tp>
      <tp t="s">
        <v>#N/A Requesting Data...4071414623</v>
        <stp/>
        <stp>BDP|14389601514735992017</stp>
        <tr r="F14" s="28"/>
        <tr r="F14" s="28"/>
      </tp>
      <tp t="s">
        <v>#N/A N/A</v>
        <stp/>
        <stp>BDP|12747744242064290327</stp>
        <tr r="I13" s="14"/>
      </tp>
      <tp t="s">
        <v>#N/A Requesting Data...4097923614</v>
        <stp/>
        <stp>BDP|12322328187847672813</stp>
        <tr r="N10" s="28"/>
        <tr r="N10" s="28"/>
      </tp>
      <tp t="s">
        <v>#N/A Requesting Data...4048649701</v>
        <stp/>
        <stp>BDP|12819549512843676392</stp>
        <tr r="O15" s="28"/>
        <tr r="O15" s="28"/>
      </tp>
      <tp t="s">
        <v>#N/A N/A</v>
        <stp/>
        <stp>BDP|13816612839721251122</stp>
        <tr r="F48" s="2"/>
      </tp>
      <tp t="s">
        <v>#N/A N/A</v>
        <stp/>
        <stp>BDP|15426804499844989679</stp>
        <tr r="F128" s="2"/>
      </tp>
      <tp t="s">
        <v>#N/A Requesting Data...4185462116</v>
        <stp/>
        <stp>BDP|17009203606714473704</stp>
        <tr r="G6" s="13"/>
      </tp>
      <tp t="s">
        <v>#N/A Requesting Data...4050249887</v>
        <stp/>
        <stp>BDP|10755857071808699102</stp>
        <tr r="J18" s="28"/>
        <tr r="J18" s="28"/>
      </tp>
      <tp t="s">
        <v>#N/A N/A</v>
        <stp/>
        <stp>BDP|10386642963583538556</stp>
        <tr r="H16" s="14"/>
      </tp>
      <tp t="s">
        <v>#N/A Requesting Data...4260538173</v>
        <stp/>
        <stp>BDP|15004007793259019377</stp>
        <tr r="K21" s="28"/>
        <tr r="K21" s="28"/>
      </tp>
      <tp t="s">
        <v>#N/A Requesting Data...4270850535</v>
        <stp/>
        <stp>BDP|18213071675558034172</stp>
        <tr r="E15" s="28"/>
        <tr r="E15" s="28"/>
      </tp>
      <tp t="s">
        <v>#N/A N/A</v>
        <stp/>
        <stp>BDP|18037048383646593047</stp>
        <tr r="G30" s="8"/>
      </tp>
      <tp t="s">
        <v>#N/A N/A</v>
        <stp/>
        <stp>BDP|17310373617583391181</stp>
        <tr r="F95" s="2"/>
        <tr r="F95" s="2"/>
      </tp>
      <tp t="s">
        <v>#N/A N/A</v>
        <stp/>
        <stp>BDP|15657481406297250116</stp>
        <tr r="H54" s="2"/>
      </tp>
      <tp t="s">
        <v>#N/A N/A</v>
        <stp/>
        <stp>BDP|11228918949872001908</stp>
        <tr r="E116" s="2"/>
        <tr r="E116" s="2"/>
      </tp>
      <tp t="s">
        <v>#N/A N/A</v>
        <stp/>
        <stp>BDP|16576281167640901595</stp>
        <tr r="F11" s="14"/>
      </tp>
      <tp t="s">
        <v>#N/A N/A</v>
        <stp/>
        <stp>BDP|14491324472184051387</stp>
        <tr r="F63" s="2"/>
      </tp>
      <tp t="s">
        <v>#N/A N/A</v>
        <stp/>
        <stp>BDP|16731046409579883837</stp>
        <tr r="E131" s="2"/>
      </tp>
      <tp t="s">
        <v>#N/A Requesting Data...3989853978</v>
        <stp/>
        <stp>BDP|15219343014179809994</stp>
        <tr r="N20" s="28"/>
        <tr r="N20" s="28"/>
      </tp>
      <tp t="s">
        <v>#N/A N/A</v>
        <stp/>
        <stp>BDP|16857486120995268219</stp>
        <tr r="H8" s="14"/>
      </tp>
      <tp t="s">
        <v>#N/A N/A</v>
        <stp/>
        <stp>BDP|12343019732616670058</stp>
        <tr r="I117" s="2"/>
      </tp>
      <tp t="s">
        <v>#N/A N/A</v>
        <stp/>
        <stp>BDP|15401326637191751318</stp>
        <tr r="E166" s="2"/>
      </tp>
      <tp t="s">
        <v>#N/A Requesting Data...4006981598</v>
        <stp/>
        <stp>BDP|10663458571984087055</stp>
        <tr r="H16" s="28"/>
        <tr r="H16" s="28"/>
      </tp>
      <tp t="s">
        <v>#N/A N/A</v>
        <stp/>
        <stp>BDP|12106869525399313679</stp>
        <tr r="I79" s="2"/>
        <tr r="I79" s="2"/>
      </tp>
      <tp t="s">
        <v>#N/A Requesting Data...4053437362</v>
        <stp/>
        <stp>BDP|14066371098768066266</stp>
        <tr r="J12" s="28"/>
        <tr r="J12" s="28"/>
      </tp>
      <tp t="s">
        <v>#N/A N/A</v>
        <stp/>
        <stp>BDP|11180995491531769434</stp>
        <tr r="H9" s="28"/>
        <tr r="H9" s="28"/>
      </tp>
      <tp t="s">
        <v>#N/A N/A</v>
        <stp/>
        <stp>BDP|11804613404122882195</stp>
        <tr r="Z12" s="13"/>
        <tr r="Z12" s="13"/>
      </tp>
      <tp t="s">
        <v>#N/A Requesting Data...4086871814</v>
        <stp/>
        <stp>BDP|13470500025672882258</stp>
        <tr r="O17" s="28"/>
        <tr r="O17" s="28"/>
      </tp>
      <tp t="s">
        <v>#N/A N/A</v>
        <stp/>
        <stp>BDP|17991556406891378750</stp>
        <tr r="G13" s="14"/>
      </tp>
      <tp t="s">
        <v>#N/A N/A</v>
        <stp/>
        <stp>BDP|12236275974756772597</stp>
        <tr r="I18" s="14"/>
      </tp>
      <tp t="s">
        <v>#N/A Requesting Data...4253319414</v>
        <stp/>
        <stp>BDP|17340477927964702174</stp>
        <tr r="N21" s="28"/>
        <tr r="N21" s="28"/>
      </tp>
      <tp t="s">
        <v>#N/A Requesting Data...4266554883</v>
        <stp/>
        <stp>BDP|15087488642280868113</stp>
        <tr r="T46" s="16"/>
      </tp>
      <tp t="s">
        <v>#N/A N/A</v>
        <stp/>
        <stp>BDP|10541241883357652967</stp>
        <tr r="F18" s="14"/>
      </tp>
      <tp t="s">
        <v>#N/A N/A</v>
        <stp/>
        <stp>BDP|10009201307856696045</stp>
        <tr r="I16" s="14"/>
      </tp>
      <tp t="s">
        <v>#N/A N/A</v>
        <stp/>
        <stp>BDP|13516440675794286015</stp>
        <tr r="E63" s="2"/>
      </tp>
      <tp t="s">
        <v>#N/A N/A</v>
        <stp/>
        <stp>BDP|10307225955367284406</stp>
        <tr r="F66" s="2"/>
      </tp>
      <tp t="s">
        <v>#N/A Requesting Data...4255243988</v>
        <stp/>
        <stp>BDP|13865066478765865589</stp>
        <tr r="N16" s="28"/>
        <tr r="N16" s="28"/>
      </tp>
      <tp t="s">
        <v>#N/A Requesting Data...4152768697</v>
        <stp/>
        <stp>BDP|17562726973654637749</stp>
        <tr r="H13" s="28"/>
        <tr r="H13" s="28"/>
      </tp>
      <tp t="s">
        <v>#N/A N/A</v>
        <stp/>
        <stp>BDP|12959789912884988531</stp>
        <tr r="G129" s="2"/>
        <tr r="G129" s="2"/>
      </tp>
      <tp t="s">
        <v>#N/A Requesting Data...4025040101</v>
        <stp/>
        <stp>BDP|15947673435476535362</stp>
        <tr r="F95" s="13"/>
        <tr r="F98" s="13"/>
        <tr r="F88" s="13"/>
        <tr r="F71" s="13"/>
        <tr r="F53" s="13"/>
        <tr r="F21" s="13"/>
        <tr r="F35" s="13"/>
        <tr r="F11" s="13"/>
        <tr r="F26" s="13"/>
        <tr r="F40" s="13"/>
        <tr r="F41" s="13"/>
        <tr r="F76" s="13"/>
        <tr r="F39" s="13"/>
        <tr r="F23" s="13"/>
        <tr r="F12" s="13"/>
        <tr r="F58" s="13"/>
        <tr r="F92" s="13"/>
        <tr r="F29" s="13"/>
        <tr r="F44" s="13"/>
        <tr r="F59" s="13"/>
        <tr r="F77" s="13"/>
        <tr r="F93" s="13"/>
        <tr r="F91" s="13"/>
        <tr r="F14" s="13"/>
        <tr r="F30" s="13"/>
        <tr r="F57" s="13"/>
        <tr r="F47" s="13"/>
        <tr r="F65" s="13"/>
        <tr r="F82" s="13"/>
        <tr r="F16" s="13"/>
        <tr r="F32" s="13"/>
        <tr r="F48" s="13"/>
        <tr r="F66" s="13"/>
        <tr r="F83" s="13"/>
        <tr r="F22" s="13"/>
        <tr r="F17" s="13"/>
        <tr r="F101" s="13"/>
        <tr r="F75" s="13"/>
        <tr r="F34" s="13"/>
        <tr r="F50" s="13"/>
        <tr r="F68" s="13"/>
        <tr r="F85" s="13"/>
        <tr r="F10" s="13"/>
        <tr r="F15" s="13"/>
        <tr r="F24" s="13"/>
        <tr r="F33" s="13"/>
        <tr r="F42" s="13"/>
        <tr r="F51" s="13"/>
        <tr r="F60" s="13"/>
        <tr r="F69" s="13"/>
        <tr r="F78" s="13"/>
        <tr r="F86" s="13"/>
        <tr r="F94" s="13"/>
        <tr r="F52" s="13"/>
        <tr r="F62" s="13"/>
        <tr r="F70" s="13"/>
        <tr r="F8" s="13"/>
        <tr r="F87" s="13"/>
        <tr r="F96" s="13"/>
        <tr r="F102" s="13"/>
        <tr r="F18" s="13"/>
        <tr r="F27" s="13"/>
        <tr r="F36" s="13"/>
        <tr r="F45" s="13"/>
        <tr r="F54" s="13"/>
        <tr r="F63" s="13"/>
        <tr r="F72" s="13"/>
        <tr r="F80" s="13"/>
        <tr r="F89" s="13"/>
        <tr r="F97" s="13"/>
        <tr r="F103" s="13"/>
        <tr r="F20" s="13"/>
        <tr r="F28" s="13"/>
        <tr r="F38" s="13"/>
        <tr r="F46" s="13"/>
        <tr r="F56" s="13"/>
        <tr r="F64" s="13"/>
        <tr r="F74" s="13"/>
        <tr r="F81" s="13"/>
        <tr r="F90" s="13"/>
        <tr r="F99" s="13"/>
        <tr r="F100" s="13"/>
        <tr r="F13" s="13"/>
        <tr r="F19" s="13"/>
        <tr r="F25" s="13"/>
        <tr r="F31" s="13"/>
        <tr r="F37" s="13"/>
        <tr r="F43" s="13"/>
        <tr r="F49" s="13"/>
        <tr r="F55" s="13"/>
        <tr r="F61" s="13"/>
        <tr r="F67" s="13"/>
        <tr r="F73" s="13"/>
        <tr r="F79" s="13"/>
        <tr r="F84" s="13"/>
        <tr r="F9" s="13"/>
      </tp>
      <tp t="s">
        <v>#N/A Requesting Data...4130551437</v>
        <stp/>
        <stp>BDP|10671266488287216827</stp>
        <tr r="G16" s="28"/>
        <tr r="G16" s="28"/>
      </tp>
      <tp t="s">
        <v>#N/A Requesting Data...4178536411</v>
        <stp/>
        <stp>BDP|15498246668802718641</stp>
        <tr r="E19" s="28"/>
        <tr r="E19" s="28"/>
      </tp>
      <tp t="s">
        <v>#N/A Requesting Data...4207360052</v>
        <stp/>
        <stp>BDP|12266147030186127398</stp>
        <tr r="F13" s="28"/>
        <tr r="F13" s="28"/>
      </tp>
      <tp t="s">
        <v>#N/A Requesting Data...4094444327</v>
        <stp/>
        <stp>BDP|16134158234091068011</stp>
        <tr r="H18" s="28"/>
        <tr r="H18" s="28"/>
      </tp>
      <tp t="s">
        <v>#N/A Requesting Data...4199231417</v>
        <stp/>
        <stp>BDP|17958036829980681041</stp>
        <tr r="H15" s="28"/>
        <tr r="H15" s="28"/>
      </tp>
      <tp t="s">
        <v>#N/A N/A</v>
        <stp/>
        <stp>BDP|17156141646367360013</stp>
        <tr r="E55" s="25"/>
        <tr r="E55" s="25"/>
      </tp>
      <tp t="s">
        <v>#N/A Requesting Data...4230843056</v>
        <stp/>
        <stp>BDP|10118921737696728925</stp>
        <tr r="F4" s="13"/>
      </tp>
      <tp t="s">
        <v>#N/A Requesting Data...4043358029</v>
        <stp/>
        <stp>BDP|11282313476556694638</stp>
        <tr r="H90" s="28"/>
        <tr r="H104" s="28"/>
        <tr r="H80" s="28"/>
        <tr r="H34" s="28"/>
        <tr r="H97" s="28"/>
        <tr r="H35" s="28"/>
        <tr r="H69" s="28"/>
        <tr r="H22" s="28"/>
        <tr r="H31" s="28"/>
        <tr r="H23" s="28"/>
        <tr r="H79" s="28"/>
        <tr r="H68" s="28"/>
        <tr r="H49" s="28"/>
        <tr r="H38" s="28"/>
        <tr r="H30" s="28"/>
        <tr r="H41" s="28"/>
        <tr r="H62" s="28"/>
        <tr r="H28" s="28"/>
        <tr r="H76" s="28"/>
        <tr r="H63" s="28"/>
        <tr r="H36" s="28"/>
        <tr r="H56" s="28"/>
        <tr r="H52" s="28"/>
        <tr r="H46" s="28"/>
        <tr r="H48" s="28"/>
        <tr r="H29" s="28"/>
        <tr r="H55" s="28"/>
        <tr r="H67" s="28"/>
        <tr r="H86" s="28"/>
        <tr r="H26" s="28"/>
        <tr r="H70" s="28"/>
        <tr r="H73" s="28"/>
        <tr r="H98" s="28"/>
        <tr r="H100" s="28"/>
        <tr r="H93" s="28"/>
        <tr r="H54" s="28"/>
        <tr r="H43" s="28"/>
        <tr r="H45" s="28"/>
        <tr r="H95" s="28"/>
        <tr r="H85" s="28"/>
        <tr r="H89" s="28"/>
        <tr r="H91" s="28"/>
        <tr r="H40" s="28"/>
        <tr r="H44" s="28"/>
        <tr r="H92" s="28"/>
        <tr r="H103" s="28"/>
        <tr r="H64" s="28"/>
        <tr r="H105" s="28"/>
        <tr r="H27" s="28"/>
        <tr r="H32" s="28"/>
        <tr r="H75" s="28"/>
        <tr r="H24" s="28"/>
        <tr r="H47" s="28"/>
        <tr r="H72" s="28"/>
        <tr r="H74" s="28"/>
        <tr r="H94" s="28"/>
        <tr r="H58" s="28"/>
        <tr r="H81" s="28"/>
        <tr r="H33" s="28"/>
        <tr r="H59" s="28"/>
        <tr r="H101" s="28"/>
        <tr r="H83" s="28"/>
        <tr r="H102" s="28"/>
        <tr r="H60" s="28"/>
        <tr r="H84" s="28"/>
        <tr r="H37" s="28"/>
        <tr r="H50" s="28"/>
        <tr r="H61" s="28"/>
        <tr r="H77" s="28"/>
        <tr r="H87" s="28"/>
        <tr r="H96" s="28"/>
        <tr r="H106" s="28"/>
        <tr r="H39" s="28"/>
        <tr r="H51" s="28"/>
        <tr r="H88" s="28"/>
        <tr r="H53" s="28"/>
        <tr r="H65" s="28"/>
        <tr r="H78" s="28"/>
        <tr r="H99" s="28"/>
        <tr r="H42" s="28"/>
        <tr r="H57" s="28"/>
        <tr r="H66" s="28"/>
        <tr r="H25" s="28"/>
        <tr r="H71" s="28"/>
        <tr r="H82" s="28"/>
      </tp>
      <tp t="s">
        <v>#N/A Requesting Data...4074995260</v>
        <stp/>
        <stp>BDP|13346456347330199622</stp>
        <tr r="K10" s="28"/>
        <tr r="K10" s="28"/>
      </tp>
      <tp t="s">
        <v>#N/A Requesting Data...4177085402</v>
        <stp/>
        <stp>BDP|17397114516920668200</stp>
        <tr r="H20" s="28"/>
        <tr r="H20" s="28"/>
      </tp>
      <tp t="s">
        <v>#N/A N/A</v>
        <stp/>
        <stp>BDP|11046963982860314535</stp>
        <tr r="H13" s="14"/>
      </tp>
      <tp t="s">
        <v>#N/A Requesting Data...4079876333</v>
        <stp/>
        <stp>BDP|11604682918243742059</stp>
        <tr r="G12" s="28"/>
        <tr r="G12" s="28"/>
      </tp>
      <tp t="s">
        <v>#N/A N/A</v>
        <stp/>
        <stp>BDP|12330149432411818499</stp>
        <tr r="E60" s="2"/>
        <tr r="E60" s="2"/>
      </tp>
      <tp t="s">
        <v>#N/A Requesting Data...4216612804</v>
        <stp/>
        <stp>BDP|11268636660413783716</stp>
        <tr r="M15" s="28"/>
        <tr r="M15" s="28"/>
      </tp>
      <tp t="s">
        <v>#N/A Requesting Data...4279781137</v>
        <stp/>
        <stp>BDP|11726390914725542386</stp>
        <tr r="I19" s="28"/>
        <tr r="I19" s="28"/>
      </tp>
    </main>
    <main first="bofaddin.rtdserver">
      <tp t="s">
        <v>#N/A N/A</v>
        <stp/>
        <stp>BDP|3898081871429961146</stp>
        <tr r="F16" s="14"/>
      </tp>
      <tp t="s">
        <v>#N/A N/A</v>
        <stp/>
        <stp>BDP|8444263432483541671</stp>
        <tr r="I116" s="2"/>
        <tr r="I116" s="2"/>
      </tp>
      <tp t="s">
        <v>#N/A N/A</v>
        <stp/>
        <stp>BDP|4047145966436467950</stp>
        <tr r="E9" s="28"/>
        <tr r="E9" s="28"/>
      </tp>
      <tp t="s">
        <v>#N/A N/A</v>
        <stp/>
        <stp>BDP|2459768952489255524</stp>
        <tr r="F150" s="2"/>
        <tr r="F150" s="2"/>
      </tp>
      <tp t="s">
        <v>#N/A Requesting Data...4100263914</v>
        <stp/>
        <stp>BDP|2558507111569036308</stp>
        <tr r="I10" s="28"/>
        <tr r="I10" s="28"/>
      </tp>
      <tp t="s">
        <v>#N/A N/A</v>
        <stp/>
        <stp>BDP|5665971994480561956</stp>
        <tr r="E130" s="2"/>
        <tr r="E130" s="2"/>
      </tp>
      <tp t="s">
        <v>#N/A N/A</v>
        <stp/>
        <stp>BDP|5135564082054780187</stp>
        <tr r="F54" s="25"/>
        <tr r="F54" s="25"/>
      </tp>
      <tp t="s">
        <v>#N/A Requesting Data...4059860911</v>
        <stp/>
        <stp>BDP|6259688816125548929</stp>
        <tr r="O13" s="28"/>
        <tr r="O13" s="28"/>
      </tp>
      <tp t="s">
        <v>#N/A Requesting Data...4267961000</v>
        <stp/>
        <stp>BDP|7881773076723612938</stp>
        <tr r="F6" s="13"/>
      </tp>
      <tp t="s">
        <v>#N/A N/A</v>
        <stp/>
        <stp>BDP|6914867339661950132</stp>
        <tr r="E129" s="2"/>
        <tr r="E129" s="2"/>
      </tp>
      <tp t="s">
        <v>#N/A Requesting Data...4155830578</v>
        <stp/>
        <stp>BDS|4961957526731314341</stp>
        <tr r="C9" s="28"/>
      </tp>
      <tp t="s">
        <v>#N/A N/A</v>
        <stp/>
        <stp>BDP|6243078221309165073</stp>
        <tr r="I129" s="2"/>
        <tr r="I129" s="2"/>
      </tp>
      <tp t="s">
        <v>#N/A Requesting Data...4193618170</v>
        <stp/>
        <stp>BDP|3977256626749842749</stp>
        <tr r="G7" s="13"/>
      </tp>
      <tp t="s">
        <v>#N/A N/A</v>
        <stp/>
        <stp>BDP|6759920123349954984</stp>
        <tr r="I149" s="2"/>
        <tr r="I149" s="2"/>
      </tp>
      <tp t="s">
        <v>#N/A Requesting Data...4228030954</v>
        <stp/>
        <stp>BDP|2774412892296368430</stp>
        <tr r="T45" s="16"/>
      </tp>
      <tp t="s">
        <v>#N/A N/A</v>
        <stp/>
        <stp>BDP|8485724228204635719</stp>
        <tr r="I54" s="2"/>
      </tp>
      <tp t="s">
        <v>#N/A Requesting Data...4179274500</v>
        <stp/>
        <stp>BDP|8632373637506927015</stp>
        <tr r="L15" s="28"/>
        <tr r="L15" s="28"/>
      </tp>
      <tp t="s">
        <v>#N/A Requesting Data...4170302437</v>
        <stp/>
        <stp>BDP|4791741475459170386</stp>
        <tr r="D5" s="13"/>
      </tp>
      <tp t="s">
        <v>#N/A N/A</v>
        <stp/>
        <stp>BDP|4025836568821626519</stp>
        <tr r="F9" s="28"/>
        <tr r="F9" s="28"/>
      </tp>
      <tp t="s">
        <v>#N/A N/A</v>
        <stp/>
        <stp>BDP|6928612456212280910</stp>
        <tr r="I9" s="14"/>
      </tp>
      <tp t="s">
        <v>#N/A Requesting Data...4211234562</v>
        <stp/>
        <stp>BDP|4215443791992027556</stp>
        <tr r="D7" s="16"/>
      </tp>
      <tp t="s">
        <v>#N/A N/A</v>
        <stp/>
        <stp>BDP|9420545708427297590</stp>
        <tr r="G150" s="2"/>
        <tr r="G150" s="2"/>
      </tp>
      <tp t="s">
        <v>#N/A N/A</v>
        <stp/>
        <stp>BDP|5473742661852669860</stp>
        <tr r="G117" s="2"/>
      </tp>
      <tp t="s">
        <v>#N/A N/A</v>
        <stp/>
        <stp>BDP|5955320699167343661</stp>
        <tr r="I9" s="28"/>
        <tr r="I9" s="28"/>
      </tp>
      <tp t="s">
        <v>#N/A Requesting Data...4093780883</v>
        <stp/>
        <stp>BDP|5618517927568406434</stp>
        <tr r="C4" s="13"/>
      </tp>
      <tp t="s">
        <v>#N/A Requesting Data...4165582343</v>
        <stp/>
        <stp>BDP|7111702616866875847</stp>
        <tr r="L18" s="28"/>
        <tr r="L18" s="28"/>
      </tp>
      <tp t="s">
        <v>#N/A Requesting Data...4241138803</v>
        <stp/>
        <stp>BDP|3812946713964294054</stp>
        <tr r="K84" s="28"/>
        <tr r="K60" s="28"/>
        <tr r="K33" s="28"/>
        <tr r="K67" s="28"/>
        <tr r="K53" s="28"/>
        <tr r="K91" s="28"/>
        <tr r="K98" s="28"/>
        <tr r="K97" s="28"/>
        <tr r="K103" s="28"/>
        <tr r="K76" s="28"/>
        <tr r="K71" s="28"/>
        <tr r="K83" s="28"/>
        <tr r="K89" s="28"/>
        <tr r="K29" s="28"/>
        <tr r="K49" s="28"/>
        <tr r="K63" s="28"/>
        <tr r="K44" s="28"/>
        <tr r="K48" s="28"/>
        <tr r="K102" s="28"/>
        <tr r="K81" s="28"/>
        <tr r="K86" s="28"/>
        <tr r="K101" s="28"/>
        <tr r="K100" s="28"/>
        <tr r="K105" s="28"/>
        <tr r="K46" s="28"/>
        <tr r="K90" s="28"/>
        <tr r="K40" s="28"/>
        <tr r="K92" s="28"/>
        <tr r="K88" s="28"/>
        <tr r="K68" s="28"/>
        <tr r="K52" s="28"/>
        <tr r="K43" s="28"/>
        <tr r="K95" s="28"/>
        <tr r="K94" s="28"/>
        <tr r="K42" s="28"/>
        <tr r="K99" s="28"/>
        <tr r="K106" s="28"/>
        <tr r="K27" s="28"/>
        <tr r="K38" s="28"/>
        <tr r="K39" s="28"/>
        <tr r="K55" s="28"/>
        <tr r="K65" s="28"/>
        <tr r="K69" s="28"/>
        <tr r="K37" s="28"/>
        <tr r="K70" s="28"/>
        <tr r="K104" s="28"/>
        <tr r="K79" s="28"/>
        <tr r="K23" s="28"/>
        <tr r="K26" s="28"/>
        <tr r="K54" s="28"/>
        <tr r="K78" s="28"/>
        <tr r="K28" s="28"/>
        <tr r="K57" s="28"/>
        <tr r="K82" s="28"/>
        <tr r="K59" s="28"/>
        <tr r="K85" s="28"/>
        <tr r="K36" s="28"/>
        <tr r="K64" s="28"/>
        <tr r="K96" s="28"/>
        <tr r="K30" s="28"/>
        <tr r="K56" s="28"/>
        <tr r="K80" s="28"/>
        <tr r="K22" s="28"/>
        <tr r="K31" s="28"/>
        <tr r="K41" s="28"/>
        <tr r="K72" s="28"/>
        <tr r="K32" s="28"/>
        <tr r="K45" s="28"/>
        <tr r="K73" s="28"/>
        <tr r="K24" s="28"/>
        <tr r="K34" s="28"/>
        <tr r="K47" s="28"/>
        <tr r="K61" s="28"/>
        <tr r="K74" s="28"/>
        <tr r="K87" s="28"/>
        <tr r="K62" s="28"/>
        <tr r="K93" s="28"/>
        <tr r="K25" s="28"/>
        <tr r="K35" s="28"/>
        <tr r="K51" s="28"/>
        <tr r="K77" s="28"/>
        <tr r="K50" s="28"/>
        <tr r="K58" s="28"/>
        <tr r="K66" s="28"/>
        <tr r="K75" s="28"/>
      </tp>
      <tp t="s">
        <v>#N/A N/A</v>
        <stp/>
        <stp>BDP|2724936657119796880</stp>
        <tr r="H148" s="2"/>
        <tr r="H148" s="2"/>
      </tp>
      <tp t="s">
        <v>#N/A Requesting Data...4172587795</v>
        <stp/>
        <stp>BDP|9651050714510972738</stp>
        <tr r="M7" s="28"/>
        <tr r="M7" s="28"/>
        <tr r="D22" s="16"/>
        <tr r="D22" s="16"/>
      </tp>
      <tp t="s">
        <v>#N/A Requesting Data...4277251914</v>
        <stp/>
        <stp>BDP|4083673287651407462</stp>
        <tr r="H7" s="16"/>
      </tp>
      <tp t="s">
        <v>#N/A Requesting Data...4234810877</v>
        <stp/>
        <stp>BDP|1725473557169111643</stp>
        <tr r="G4" s="13"/>
      </tp>
      <tp t="s">
        <v>#N/A Requesting Data...4224683394</v>
        <stp/>
        <stp>BDP|7440003783328668830</stp>
        <tr r="N17" s="28"/>
        <tr r="N17" s="28"/>
      </tp>
      <tp t="s">
        <v>#N/A N/A</v>
        <stp/>
        <stp>BDP|5412871122447505740</stp>
        <tr r="H117" s="2"/>
      </tp>
      <tp t="s">
        <v>#N/A N/A</v>
        <stp/>
        <stp>BDS|7862746575888728089</stp>
        <tr r="C41" s="11"/>
        <tr r="L22" s="26"/>
      </tp>
      <tp t="s">
        <v>#N/A N/A</v>
        <stp/>
        <stp>BDP|6439206080622209111</stp>
        <tr r="H131" s="2"/>
      </tp>
      <tp t="s">
        <v>#N/A Requesting Data...4219110391</v>
        <stp/>
        <stp>BDP|9617938596104374278</stp>
        <tr r="K7" s="28"/>
        <tr r="K7" s="28"/>
      </tp>
      <tp t="s">
        <v>#N/A N/A</v>
        <stp/>
        <stp>BDP|4492936133056366733</stp>
        <tr r="F155" s="2"/>
        <tr r="F155" s="2"/>
      </tp>
      <tp t="s">
        <v>#N/A N/A</v>
        <stp/>
        <stp>BDP|8014209028990533789</stp>
        <tr r="E155" s="2"/>
        <tr r="E155" s="2"/>
      </tp>
      <tp t="s">
        <v>#N/A Requesting Data...4289863453</v>
        <stp/>
        <stp>BQL|8918278204131777346</stp>
        <tr r="B3" s="13"/>
      </tp>
      <tp t="s">
        <v>#N/A Requesting Data...4254829695</v>
        <stp/>
        <stp>BDP|3809703674428498301</stp>
        <tr r="L14" s="28"/>
        <tr r="L14" s="28"/>
      </tp>
      <tp t="s">
        <v>#N/A N/A</v>
        <stp/>
        <stp>BDP|4765462828303299938</stp>
        <tr r="E48" s="2"/>
      </tp>
      <tp t="s">
        <v>#N/A Requesting Data...4290187501</v>
        <stp/>
        <stp>BDP|1628637725349837449</stp>
        <tr r="F19" s="28"/>
        <tr r="F19" s="28"/>
      </tp>
      <tp t="s">
        <v>#N/A N/A</v>
        <stp/>
        <stp>BDP|8634798322430239530</stp>
        <tr r="G9" s="28"/>
        <tr r="G9" s="28"/>
      </tp>
      <tp t="s">
        <v>#N/A N/A</v>
        <stp/>
        <stp>BDP|9642382436825001441</stp>
        <tr r="AA12" s="13"/>
        <tr r="AA12" s="13"/>
      </tp>
      <tp t="s">
        <v>#N/A N/A</v>
        <stp/>
        <stp>BDP|4436116827087969890</stp>
        <tr r="H92" s="2"/>
        <tr r="H92" s="2"/>
      </tp>
      <tp t="s">
        <v>#N/A Requesting Data...4216156012</v>
        <stp/>
        <stp>BDP|6044074457949322207</stp>
        <tr r="F16" s="28"/>
        <tr r="F16" s="28"/>
      </tp>
      <tp t="s">
        <v>#N/A N/A</v>
        <stp/>
        <stp>BDP|4758831651060654139</stp>
        <tr r="E148" s="2"/>
        <tr r="E148" s="2"/>
      </tp>
      <tp t="s">
        <v>#N/A N/A</v>
        <stp/>
        <stp>BDP|7738444383495628673</stp>
        <tr r="R4" s="13"/>
      </tp>
      <tp t="s">
        <v>#N/A N/A</v>
        <stp/>
        <stp>BDP|2454629930119733679</stp>
        <tr r="G128" s="2"/>
      </tp>
      <tp t="s">
        <v>#N/A N/A</v>
        <stp/>
        <stp>BDP|3111697802144978979</stp>
        <tr r="H66" s="2"/>
      </tp>
      <tp t="s">
        <v>#N/A Requesting Data...4145732794</v>
        <stp/>
        <stp>BDP|3148348894089704825</stp>
        <tr r="J14" s="28"/>
        <tr r="J14" s="28"/>
      </tp>
      <tp t="s">
        <v>#N/A Requesting Data...4155222811</v>
        <stp/>
        <stp>BDP|3525572187012244438</stp>
        <tr r="H10" s="28"/>
        <tr r="H10" s="28"/>
      </tp>
      <tp t="s">
        <v>#N/A Requesting Data...4283828168</v>
        <stp/>
        <stp>BDP|6510771690062230242</stp>
        <tr r="N18" s="28"/>
        <tr r="N18" s="28"/>
      </tp>
      <tp t="s">
        <v>#N/A Requesting Data...4180173576</v>
        <stp/>
        <stp>BDP|2730557990441216750</stp>
        <tr r="I12" s="28"/>
        <tr r="I12" s="28"/>
      </tp>
      <tp t="s">
        <v>#N/A Requesting Data...4213971517</v>
        <stp/>
        <stp>BDP|1597890650745002199</stp>
        <tr r="H11" s="28"/>
        <tr r="H11" s="28"/>
      </tp>
      <tp t="s">
        <v>#N/A Requesting Data...4281722997</v>
        <stp/>
        <stp>BDP|4486595513999247064</stp>
        <tr r="D7" s="13"/>
      </tp>
      <tp t="s">
        <v>#N/A N/A</v>
        <stp/>
        <stp>BDP|8849232996069090346</stp>
        <tr r="I148" s="2"/>
        <tr r="I148" s="2"/>
      </tp>
      <tp t="s">
        <v>#N/A N/A</v>
        <stp/>
        <stp>BDP|1996317528720567980</stp>
        <tr r="G136" s="2"/>
        <tr r="G136" s="2"/>
      </tp>
      <tp t="s">
        <v>#N/A Requesting Data...4275214120</v>
        <stp/>
        <stp>BDP|6314106450678988387</stp>
        <tr r="K15" s="28"/>
        <tr r="K15" s="28"/>
      </tp>
      <tp t="s">
        <v>#N/A Requesting Data...4267092464</v>
        <stp/>
        <stp>BDP|4296176335809543671</stp>
        <tr r="T42" s="16"/>
      </tp>
      <tp t="s">
        <v>#N/A N/A</v>
        <stp/>
        <stp>BDP|8943727063352035286</stp>
        <tr r="F56" s="25"/>
        <tr r="F56" s="25"/>
      </tp>
      <tp t="s">
        <v>#N/A Requesting Data...4271227138</v>
        <stp/>
        <stp>BDP|7382006095364400332</stp>
        <tr r="N11" s="28"/>
        <tr r="N11" s="28"/>
      </tp>
      <tp t="s">
        <v>#N/A Requesting Data...4229197488</v>
        <stp/>
        <stp>BDP|5810633094517156483</stp>
        <tr r="M12" s="28"/>
        <tr r="M12" s="28"/>
      </tp>
      <tp t="s">
        <v>#N/A Requesting Data...4224295676</v>
        <stp/>
        <stp>BDP|8005532920127416101</stp>
        <tr r="L19" s="28"/>
        <tr r="L19" s="28"/>
      </tp>
      <tp t="s">
        <v>#N/A Requesting Data...4236855747</v>
        <stp/>
        <stp>BDP|7221211399717931276</stp>
        <tr r="I11" s="28"/>
        <tr r="I11" s="28"/>
      </tp>
      <tp t="s">
        <v>#N/A N/A</v>
        <stp/>
        <stp>BDP|6374430625208864271</stp>
        <tr r="I51" s="2"/>
      </tp>
      <tp t="s">
        <v>#N/A N/A</v>
        <stp/>
        <stp>BDP|6069896304222704619</stp>
        <tr r="E37" s="25"/>
      </tp>
      <tp t="s">
        <v>#N/A Requesting Data...4158207736</v>
        <stp/>
        <stp>BDP|6334291786074156266</stp>
        <tr r="L17" s="28"/>
        <tr r="L17" s="28"/>
      </tp>
      <tp t="s">
        <v>#N/A Requesting Data...4180838714</v>
        <stp/>
        <stp>BDP|4924862178234986578</stp>
        <tr r="F18" s="28"/>
        <tr r="F18" s="28"/>
      </tp>
      <tp t="s">
        <v>#N/A Requesting Data...4167656104</v>
        <stp/>
        <stp>BDP|6302559196339787986</stp>
        <tr r="N15" s="28"/>
        <tr r="N15" s="28"/>
      </tp>
      <tp t="s">
        <v>#N/A N/A</v>
        <stp/>
        <stp>BDP|8395094873231270468</stp>
        <tr r="F131" s="2"/>
      </tp>
      <tp t="s">
        <v>#N/A N/A</v>
        <stp/>
        <stp>BDP|8281738209576022383</stp>
        <tr r="AC10" s="13"/>
      </tp>
      <tp t="s">
        <v>#N/A Requesting Data...4230959312</v>
        <stp/>
        <stp>BDP|7055194480700793487</stp>
        <tr r="G21" s="28"/>
        <tr r="G21" s="28"/>
      </tp>
      <tp t="s">
        <v>#N/A Requesting Data...4170194355</v>
        <stp/>
        <stp>BDP|4050713895940635046</stp>
        <tr r="J16" s="28"/>
        <tr r="J16" s="28"/>
      </tp>
      <tp t="s">
        <v>#N/A Requesting Data...4253398851</v>
        <stp/>
        <stp>BDP|2380423801335057976</stp>
        <tr r="E99" s="28"/>
        <tr r="E59" s="28"/>
        <tr r="E82" s="28"/>
        <tr r="E48" s="28"/>
        <tr r="E33" s="28"/>
        <tr r="E71" s="28"/>
        <tr r="E25" s="28"/>
        <tr r="E104" s="28"/>
        <tr r="E43" s="28"/>
        <tr r="E40" s="28"/>
        <tr r="E75" s="28"/>
        <tr r="E68" s="28"/>
        <tr r="E63" s="28"/>
        <tr r="E60" s="28"/>
        <tr r="E23" s="28"/>
        <tr r="E79" s="28"/>
        <tr r="E92" s="28"/>
        <tr r="E62" s="28"/>
        <tr r="E72" s="28"/>
        <tr r="E46" s="28"/>
        <tr r="E37" s="28"/>
        <tr r="E70" s="28"/>
        <tr r="E32" s="28"/>
        <tr r="E69" s="28"/>
        <tr r="E97" s="28"/>
        <tr r="E39" s="28"/>
        <tr r="E80" s="28"/>
        <tr r="E87" s="28"/>
        <tr r="E52" s="28"/>
        <tr r="E73" s="28"/>
        <tr r="E27" s="28"/>
        <tr r="E91" s="28"/>
        <tr r="E47" s="28"/>
        <tr r="E45" s="28"/>
        <tr r="E35" s="28"/>
        <tr r="E86" s="28"/>
        <tr r="E65" s="28"/>
        <tr r="E51" s="28"/>
        <tr r="E42" s="28"/>
        <tr r="E90" s="28"/>
        <tr r="E50" s="28"/>
        <tr r="E49" s="28"/>
        <tr r="E96" s="28"/>
        <tr r="E102" s="28"/>
        <tr r="E53" s="28"/>
        <tr r="E94" s="28"/>
        <tr r="E22" s="28"/>
        <tr r="E64" s="28"/>
        <tr r="E24" s="28"/>
        <tr r="E26" s="28"/>
        <tr r="E28" s="28"/>
        <tr r="E74" s="28"/>
        <tr r="E77" s="28"/>
        <tr r="E34" s="28"/>
        <tr r="E29" s="28"/>
        <tr r="E93" s="28"/>
        <tr r="E101" s="28"/>
        <tr r="E31" s="28"/>
        <tr r="E78" s="28"/>
        <tr r="E95" s="28"/>
        <tr r="E56" s="28"/>
        <tr r="E81" s="28"/>
        <tr r="E98" s="28"/>
        <tr r="E36" s="28"/>
        <tr r="E58" s="28"/>
        <tr r="E106" s="28"/>
        <tr r="E38" s="28"/>
        <tr r="E84" s="28"/>
        <tr r="E61" s="28"/>
        <tr r="E85" s="28"/>
        <tr r="E100" s="28"/>
        <tr r="E54" s="28"/>
        <tr r="E66" s="28"/>
        <tr r="E83" s="28"/>
        <tr r="E41" s="28"/>
        <tr r="E55" s="28"/>
        <tr r="E67" s="28"/>
        <tr r="E103" s="28"/>
        <tr r="E57" s="28"/>
        <tr r="E76" s="28"/>
        <tr r="E88" s="28"/>
        <tr r="E105" s="28"/>
        <tr r="E30" s="28"/>
        <tr r="E44" s="28"/>
        <tr r="E89" s="28"/>
      </tp>
      <tp t="s">
        <v>#N/A Requesting Data...4175002348</v>
        <stp/>
        <stp>BDP|9266455337965066173</stp>
        <tr r="T53" s="16"/>
      </tp>
      <tp t="s">
        <v>#N/A N/A</v>
        <stp/>
        <stp>BDP|2774777801176640924</stp>
        <tr r="G54" s="2"/>
      </tp>
      <tp t="s">
        <v>#N/A N/A</v>
        <stp/>
        <stp>BDP|8181564823187488257</stp>
        <tr r="I136" s="2"/>
        <tr r="I136" s="2"/>
      </tp>
      <tp t="s">
        <v>#N/A N/A</v>
        <stp/>
        <stp>BDP|6617812941580363004</stp>
        <tr r="E16" s="14"/>
      </tp>
      <tp t="s">
        <v>#N/A N/A</v>
        <stp/>
        <stp>BDP|9376852017302726833</stp>
        <tr r="G57" s="2"/>
      </tp>
      <tp t="s">
        <v>#N/A N/A</v>
        <stp/>
        <stp>BDP|8329188406215360743</stp>
        <tr r="I63" s="2"/>
      </tp>
      <tp t="s">
        <v>#N/A N/A</v>
        <stp/>
        <stp>BDP|4053320270409086297</stp>
        <tr r="I150" s="2"/>
        <tr r="I150" s="2"/>
      </tp>
      <tp t="s">
        <v>#N/A Requesting Data...4247027610</v>
        <stp/>
        <stp>BDP|4836979811616494114</stp>
        <tr r="M21" s="28"/>
        <tr r="M21" s="28"/>
      </tp>
      <tp t="s">
        <v>#N/A N/A</v>
        <stp/>
        <stp>BDP|7369483513880294913</stp>
        <tr r="I11" s="14"/>
      </tp>
      <tp t="s">
        <v>#N/A N/A</v>
        <stp/>
        <stp>BDP|3286515505405991874</stp>
        <tr r="AD12" s="13"/>
        <tr r="AD12" s="13"/>
      </tp>
      <tp t="s">
        <v>#N/A N/A</v>
        <stp/>
        <stp>BDP|2913859196278329072</stp>
        <tr r="H37" s="25"/>
      </tp>
      <tp t="s">
        <v>#N/A N/A</v>
        <stp/>
        <stp>BDP|1824420798594808344</stp>
        <tr r="G89" s="2"/>
        <tr r="G89" s="2"/>
      </tp>
      <tp t="s">
        <v>#N/A Requesting Data...4192843922</v>
        <stp/>
        <stp>BDP|1965614595046069331</stp>
        <tr r="O12" s="28"/>
        <tr r="O12" s="28"/>
      </tp>
      <tp t="s">
        <v>#N/A Requesting Data...4286260311</v>
        <stp/>
        <stp>BDP|2804295996045829737</stp>
        <tr r="F97" s="28"/>
        <tr r="F81" s="28"/>
        <tr r="F63" s="28"/>
        <tr r="F49" s="28"/>
        <tr r="F68" s="28"/>
        <tr r="F41" s="28"/>
        <tr r="F42" s="28"/>
        <tr r="F24" s="28"/>
        <tr r="F44" s="28"/>
        <tr r="F25" s="28"/>
        <tr r="F59" s="28"/>
        <tr r="F85" s="28"/>
        <tr r="F87" s="28"/>
        <tr r="F26" s="28"/>
        <tr r="F55" s="28"/>
        <tr r="F95" s="28"/>
        <tr r="F61" s="28"/>
        <tr r="F66" s="28"/>
        <tr r="F74" s="28"/>
        <tr r="F40" s="28"/>
        <tr r="F62" s="28"/>
        <tr r="F54" s="28"/>
        <tr r="F50" s="28"/>
        <tr r="F36" s="28"/>
        <tr r="F37" s="28"/>
        <tr r="F101" s="28"/>
        <tr r="F91" s="28"/>
        <tr r="F35" s="28"/>
        <tr r="F88" s="28"/>
        <tr r="F73" s="28"/>
        <tr r="F75" s="28"/>
        <tr r="F83" s="28"/>
        <tr r="F96" s="28"/>
        <tr r="F28" s="28"/>
        <tr r="F39" s="28"/>
        <tr r="F98" s="28"/>
        <tr r="F103" s="28"/>
        <tr r="F99" s="28"/>
        <tr r="F45" s="28"/>
        <tr r="F46" s="28"/>
        <tr r="F57" s="28"/>
        <tr r="F71" s="28"/>
        <tr r="F102" s="28"/>
        <tr r="F27" s="28"/>
        <tr r="F56" s="28"/>
        <tr r="F82" s="28"/>
        <tr r="F30" s="28"/>
        <tr r="F60" s="28"/>
        <tr r="F86" s="28"/>
        <tr r="F32" s="28"/>
        <tr r="F65" s="28"/>
        <tr r="F90" s="28"/>
        <tr r="F38" s="28"/>
        <tr r="F70" s="28"/>
        <tr r="F94" s="28"/>
        <tr r="F29" s="28"/>
        <tr r="F58" s="28"/>
        <tr r="F84" s="28"/>
        <tr r="F104" s="28"/>
        <tr r="F47" s="28"/>
        <tr r="F76" s="28"/>
        <tr r="F105" s="28"/>
        <tr r="F48" s="28"/>
        <tr r="F77" s="28"/>
        <tr r="F106" s="28"/>
        <tr r="F33" s="28"/>
        <tr r="F51" s="28"/>
        <tr r="F67" s="28"/>
        <tr r="F78" s="28"/>
        <tr r="F92" s="28"/>
        <tr r="F34" s="28"/>
        <tr r="F69" s="28"/>
        <tr r="F93" s="28"/>
        <tr r="F23" s="28"/>
        <tr r="F53" s="28"/>
        <tr r="F80" s="28"/>
        <tr r="F100" s="28"/>
        <tr r="F22" s="28"/>
        <tr r="F31" s="28"/>
        <tr r="F43" s="28"/>
        <tr r="F52" s="28"/>
        <tr r="F64" s="28"/>
        <tr r="F72" s="28"/>
        <tr r="F79" s="28"/>
        <tr r="F89" s="28"/>
      </tp>
      <tp t="s">
        <v>#N/A Requesting Data...4199129796</v>
        <stp/>
        <stp>BDP|4865018948139603248</stp>
        <tr r="E10" s="28"/>
        <tr r="E10" s="28"/>
      </tp>
      <tp t="s">
        <v>#N/A N/A</v>
        <stp/>
        <stp>BDP|1376953892479763333</stp>
        <tr r="Y14" s="13"/>
      </tp>
      <tp t="s">
        <v>#N/A N/A</v>
        <stp/>
        <stp>BDP|1565316088504388586</stp>
        <tr r="F30" s="8"/>
      </tp>
      <tp t="s">
        <v>#N/A Requesting Data...4244198825</v>
        <stp/>
        <stp>BDP|9828558358417286501</stp>
        <tr r="H14" s="28"/>
        <tr r="H14" s="28"/>
      </tp>
      <tp t="s">
        <v>#N/A N/A</v>
        <stp/>
        <stp>BDP|3043877128584299945</stp>
        <tr r="E30" s="8"/>
      </tp>
      <tp t="s">
        <v>#N/A N/A</v>
        <stp/>
        <stp>BDP|7496022148441117615</stp>
        <tr r="I155" s="2"/>
        <tr r="I155" s="2"/>
      </tp>
      <tp t="s">
        <v>#N/A Requesting Data...4262249202</v>
        <stp/>
        <stp>BDP|5732587218813109687</stp>
        <tr r="I18" s="28"/>
        <tr r="I18" s="28"/>
      </tp>
      <tp t="s">
        <v>#N/A Requesting Data...4284929840</v>
        <stp/>
        <stp>BDP|6670382422537531451</stp>
        <tr r="K16" s="28"/>
        <tr r="K16" s="28"/>
      </tp>
      <tp t="s">
        <v>#N/A N/A</v>
        <stp/>
        <stp>BDP|7691119399453167822</stp>
        <tr r="D9" s="14"/>
      </tp>
      <tp t="s">
        <v>#N/A N/A</v>
        <stp/>
        <stp>BDP|6493114987892755973</stp>
        <tr r="H30" s="8"/>
      </tp>
      <tp t="s">
        <v>#N/A N/A</v>
        <stp/>
        <stp>BDP|2560969998356899013</stp>
        <tr r="E165" s="2"/>
        <tr r="E165" s="2"/>
      </tp>
      <tp t="s">
        <v>#N/A N/A</v>
        <stp/>
        <stp>BDP|9463715727948585071</stp>
        <tr r="I95" s="2"/>
        <tr r="I95" s="2"/>
      </tp>
      <tp t="s">
        <v>#N/A Requesting Data...4224565541</v>
        <stp/>
        <stp>BDP|2004370435350164656</stp>
        <tr r="E4" s="13"/>
      </tp>
      <tp t="s">
        <v>#N/A Requesting Data...4287838620</v>
        <stp/>
        <stp>BDP|6077407058433939075</stp>
        <tr r="H7" s="28"/>
        <tr r="H7" s="28"/>
      </tp>
      <tp t="s">
        <v>#N/A Requesting Data...4270517210</v>
        <stp/>
        <stp>BDP|9604907756123748204</stp>
        <tr r="H10" s="16"/>
      </tp>
      <tp t="s">
        <v>#N/A Requesting Data...4271651019</v>
        <stp/>
        <stp>BDP|8792694039310290915</stp>
        <tr r="E13" s="28"/>
        <tr r="E13" s="28"/>
      </tp>
      <tp t="s">
        <v>#N/A Requesting Data...4274149770</v>
        <stp/>
        <stp>BDP|9976739372925284919</stp>
        <tr r="C94" s="13"/>
        <tr r="C101" s="13"/>
        <tr r="C103" s="13"/>
        <tr r="C100" s="13"/>
        <tr r="C99" s="13"/>
        <tr r="C11" s="13"/>
        <tr r="C18" s="13"/>
        <tr r="C48" s="13"/>
        <tr r="C56" s="13"/>
        <tr r="C57" s="13"/>
        <tr r="C17" s="13"/>
        <tr r="C25" s="13"/>
        <tr r="C72" s="13"/>
        <tr r="C93" s="13"/>
        <tr r="C49" s="13"/>
        <tr r="C64" s="13"/>
        <tr r="C33" s="13"/>
        <tr r="C8" s="13"/>
        <tr r="C41" s="13"/>
        <tr r="C87" s="13"/>
        <tr r="C27" s="13"/>
        <tr r="C35" s="13"/>
        <tr r="C43" s="13"/>
        <tr r="C51" s="13"/>
        <tr r="C66" s="13"/>
        <tr r="C74" s="13"/>
        <tr r="C89" s="13"/>
        <tr r="C96" s="13"/>
        <tr r="C73" s="13"/>
        <tr r="C50" s="13"/>
        <tr r="C82" s="13"/>
        <tr r="C26" s="13"/>
        <tr r="C13" s="13"/>
        <tr r="C28" s="13"/>
        <tr r="C9" s="13"/>
        <tr r="C14" s="13"/>
        <tr r="C21" s="13"/>
        <tr r="C36" s="13"/>
        <tr r="C44" s="13"/>
        <tr r="C52" s="13"/>
        <tr r="C68" s="13"/>
        <tr r="C76" s="13"/>
        <tr r="C65" s="13"/>
        <tr r="C19" s="13"/>
        <tr r="C20" s="13"/>
        <tr r="C97" s="13"/>
        <tr r="C29" s="13"/>
        <tr r="C37" s="13"/>
        <tr r="C45" s="13"/>
        <tr r="C61" s="13"/>
        <tr r="C69" s="13"/>
        <tr r="C83" s="13"/>
        <tr r="C90" s="13"/>
        <tr r="C98" s="13"/>
        <tr r="C95" s="13"/>
        <tr r="C67" s="13"/>
        <tr r="C84" s="13"/>
        <tr r="C10" s="13"/>
        <tr r="C54" s="13"/>
        <tr r="C34" s="13"/>
        <tr r="C80" s="13"/>
        <tr r="C42" s="13"/>
        <tr r="C22" s="13"/>
        <tr r="C91" s="13"/>
        <tr r="C62" s="13"/>
        <tr r="C16" s="13"/>
        <tr r="C47" s="13"/>
        <tr r="C55" s="13"/>
        <tr r="C63" s="13"/>
        <tr r="C78" s="13"/>
        <tr r="C85" s="13"/>
        <tr r="C92" s="13"/>
        <tr r="C12" s="13"/>
        <tr r="C58" s="13"/>
        <tr r="C59" s="13"/>
        <tr r="C15" s="13"/>
        <tr r="C77" s="13"/>
        <tr r="C30" s="13"/>
        <tr r="C38" s="13"/>
        <tr r="C70" s="13"/>
        <tr r="C23" s="13"/>
        <tr r="C31" s="13"/>
        <tr r="C102" s="13"/>
        <tr r="C32" s="13"/>
        <tr r="C40" s="13"/>
        <tr r="C71" s="13"/>
        <tr r="C79" s="13"/>
        <tr r="C86" s="13"/>
        <tr r="C24" s="13"/>
        <tr r="C39" s="13"/>
        <tr r="C46" s="13"/>
        <tr r="C53" s="13"/>
        <tr r="C60" s="13"/>
        <tr r="C75" s="13"/>
        <tr r="C81" s="13"/>
        <tr r="C88" s="13"/>
      </tp>
      <tp t="s">
        <v>#N/A Requesting Data...4260129117</v>
        <stp/>
        <stp>BDP|5163371037982169290</stp>
        <tr r="E18" s="28"/>
        <tr r="E18" s="28"/>
      </tp>
      <tp t="s">
        <v>#N/A N/A</v>
        <stp/>
        <stp>BDP|6605290108247818669</stp>
        <tr r="D18" s="14"/>
      </tp>
      <tp t="s">
        <v>#N/A N/A</v>
        <stp/>
        <stp>BDP|4751716829156205246</stp>
        <tr r="E92" s="2"/>
        <tr r="E92" s="2"/>
      </tp>
      <tp t="s">
        <v>#N/A Requesting Data...4260269251</v>
        <stp/>
        <stp>BDP|4352239840772749597</stp>
        <tr r="T54" s="16"/>
      </tp>
      <tp t="s">
        <v>#N/A Requesting Data...4242553401</v>
        <stp/>
        <stp>BDP|2842618507978102934</stp>
        <tr r="O21" s="28"/>
        <tr r="O21" s="28"/>
      </tp>
      <tp t="s">
        <v>#N/A N/A</v>
        <stp/>
        <stp>BDP|2706212550858307874</stp>
        <tr r="G18" s="14"/>
      </tp>
      <tp t="s">
        <v>#N/A Requesting Data...4242596734</v>
        <stp/>
        <stp>BDP|1086857742160780824</stp>
        <tr r="M19" s="28"/>
        <tr r="M19" s="28"/>
      </tp>
      <tp t="s">
        <v>#N/A Requesting Data...4259672108</v>
        <stp/>
        <stp>BDP|4896652852326999456</stp>
        <tr r="L21" s="28"/>
        <tr r="L21" s="28"/>
      </tp>
      <tp t="s">
        <v>#N/A Requesting Data...4262372153</v>
        <stp/>
        <stp>BDP|1136050363237153502</stp>
        <tr r="L5" s="4"/>
      </tp>
      <tp t="s">
        <v>#N/A Requesting Data...4284764543</v>
        <stp/>
        <stp>BDP|4231105794040329924</stp>
        <tr r="M87" s="28"/>
        <tr r="M63" s="28"/>
        <tr r="M73" s="28"/>
        <tr r="M74" s="28"/>
        <tr r="M97" s="28"/>
        <tr r="M56" s="28"/>
        <tr r="M55" s="28"/>
        <tr r="M76" s="28"/>
        <tr r="M53" s="28"/>
        <tr r="M51" s="28"/>
        <tr r="M92" s="28"/>
        <tr r="M75" s="28"/>
        <tr r="M64" s="28"/>
        <tr r="M90" s="28"/>
        <tr r="M44" s="28"/>
        <tr r="M67" s="28"/>
        <tr r="M66" s="28"/>
        <tr r="M106" s="28"/>
        <tr r="M61" s="28"/>
        <tr r="M37" s="28"/>
        <tr r="M33" s="28"/>
        <tr r="M78" s="28"/>
        <tr r="M68" s="28"/>
        <tr r="M95" s="28"/>
        <tr r="M36" s="28"/>
        <tr r="M46" s="28"/>
        <tr r="M105" s="28"/>
        <tr r="M101" s="28"/>
        <tr r="M96" s="28"/>
        <tr r="M84" s="28"/>
        <tr r="M102" s="28"/>
        <tr r="M24" s="28"/>
        <tr r="M42" s="28"/>
        <tr r="M58" s="28"/>
        <tr r="M79" s="28"/>
        <tr r="M65" s="28"/>
        <tr r="M89" s="28"/>
        <tr r="M71" s="28"/>
        <tr r="M28" s="28"/>
        <tr r="M94" s="28"/>
        <tr r="M49" s="28"/>
        <tr r="M52" s="28"/>
        <tr r="M80" s="28"/>
        <tr r="M23" s="28"/>
        <tr r="M30" s="28"/>
        <tr r="M70" s="28"/>
        <tr r="M32" s="28"/>
        <tr r="M48" s="28"/>
        <tr r="M91" s="28"/>
        <tr r="M104" s="28"/>
        <tr r="M81" s="28"/>
        <tr r="M22" s="28"/>
        <tr r="M39" s="28"/>
        <tr r="M54" s="28"/>
        <tr r="M83" s="28"/>
        <tr r="M40" s="28"/>
        <tr r="M60" s="28"/>
        <tr r="M85" s="28"/>
        <tr r="M25" s="28"/>
        <tr r="M41" s="28"/>
        <tr r="M29" s="28"/>
        <tr r="M62" s="28"/>
        <tr r="M88" s="28"/>
        <tr r="M43" s="28"/>
        <tr r="M69" s="28"/>
        <tr r="M31" s="28"/>
        <tr r="M50" s="28"/>
        <tr r="M82" s="28"/>
        <tr r="M93" s="28"/>
        <tr r="M34" s="28"/>
        <tr r="M45" s="28"/>
        <tr r="M72" s="28"/>
        <tr r="M98" s="28"/>
        <tr r="M26" s="28"/>
        <tr r="M35" s="28"/>
        <tr r="M57" s="28"/>
        <tr r="M86" s="28"/>
        <tr r="M100" s="28"/>
        <tr r="M27" s="28"/>
        <tr r="M47" s="28"/>
        <tr r="M77" s="28"/>
        <tr r="M99" s="28"/>
        <tr r="M103" s="28"/>
        <tr r="M38" s="28"/>
        <tr r="M59" s="28"/>
      </tp>
      <tp t="s">
        <v>#N/A Requesting Data...4253490463</v>
        <stp/>
        <stp>BDP|8226038481783394675</stp>
        <tr r="H11" s="16"/>
      </tp>
      <tp t="s">
        <v>#N/A N/A</v>
        <stp/>
        <stp>BDP|6446846103099078266</stp>
        <tr r="F13" s="14"/>
      </tp>
      <tp t="s">
        <v>#N/A N/A</v>
        <stp/>
        <stp>BDP|4021442436717094281</stp>
        <tr r="E8" s="14"/>
      </tp>
      <tp t="s">
        <v>#N/A Requesting Data...4256989375</v>
        <stp/>
        <stp>BDP|2299334218457748154</stp>
        <tr r="T51" s="16"/>
      </tp>
      <tp t="s">
        <v>#N/A N/A</v>
        <stp/>
        <stp>BDP|1962018814491632721</stp>
        <tr r="F55" s="25"/>
      </tp>
      <tp t="s">
        <v>#N/A N/A</v>
        <stp/>
        <stp>BDP|1809091895327953947</stp>
        <tr r="D16" s="14"/>
      </tp>
      <tp t="s">
        <v>#N/A Requesting Data...4277202114</v>
        <stp/>
        <stp>BDP|6731817480811239196</stp>
        <tr r="K18" s="28"/>
        <tr r="K18" s="28"/>
      </tp>
      <tp t="s">
        <v>#N/A Requesting Data...4265275070</v>
        <stp/>
        <stp>BDP|3238546758527281210</stp>
        <tr r="L16" s="28"/>
        <tr r="L16" s="28"/>
      </tp>
      <tp t="s">
        <v>#N/A N/A</v>
        <stp/>
        <stp>BDP|9244074405799761659</stp>
        <tr r="H128" s="2"/>
      </tp>
      <tp t="s">
        <v>#N/A N/A</v>
        <stp/>
        <stp>BDP|1239436025098519934</stp>
        <tr r="G92" s="2"/>
        <tr r="G92" s="2"/>
      </tp>
      <tp t="s">
        <v>#N/A Requesting Data...4269779257</v>
        <stp/>
        <stp>BDP|4927084065904111061</stp>
        <tr r="F15" s="28"/>
        <tr r="F15" s="28"/>
      </tp>
      <tp t="s">
        <v>#N/A N/A</v>
        <stp/>
        <stp>BDP|9715297584266072392</stp>
        <tr r="H130" s="2"/>
        <tr r="H130" s="2"/>
      </tp>
      <tp t="s">
        <v>#N/A Requesting Data...4264014673</v>
        <stp/>
        <stp>BDP|5988769750886800765</stp>
        <tr r="E14" s="28"/>
        <tr r="E14" s="28"/>
      </tp>
      <tp t="s">
        <v>#N/A N/A</v>
        <stp/>
        <stp>BDP|6364361542932600578</stp>
        <tr r="E66" s="2"/>
      </tp>
      <tp t="s">
        <v>#N/A N/A</v>
        <stp/>
        <stp>BDP|1693241311571141552</stp>
        <tr r="E13" s="14"/>
      </tp>
      <tp t="s">
        <v>#N/A Requesting Data...4275899039</v>
        <stp/>
        <stp>BDP|5667140762705727128</stp>
        <tr r="I64" s="28"/>
        <tr r="I77" s="28"/>
        <tr r="I52" s="28"/>
        <tr r="I44" s="28"/>
        <tr r="I81" s="28"/>
        <tr r="I25" s="28"/>
        <tr r="I85" s="28"/>
        <tr r="I95" s="28"/>
        <tr r="I49" s="28"/>
        <tr r="I102" s="28"/>
        <tr r="I54" s="28"/>
        <tr r="I38" s="28"/>
        <tr r="I88" s="28"/>
        <tr r="I37" s="28"/>
        <tr r="I94" s="28"/>
        <tr r="I36" s="28"/>
        <tr r="I56" s="28"/>
        <tr r="I55" s="28"/>
        <tr r="I61" s="28"/>
        <tr r="I98" s="28"/>
        <tr r="I74" s="28"/>
        <tr r="I82" s="28"/>
        <tr r="I41" s="28"/>
        <tr r="I68" s="28"/>
        <tr r="I90" s="28"/>
        <tr r="I93" s="28"/>
        <tr r="I83" s="28"/>
        <tr r="I32" s="28"/>
        <tr r="I51" s="28"/>
        <tr r="I103" s="28"/>
        <tr r="I48" s="28"/>
        <tr r="I101" s="28"/>
        <tr r="I89" s="28"/>
        <tr r="I65" s="28"/>
        <tr r="I46" s="28"/>
        <tr r="I42" s="28"/>
        <tr r="I70" s="28"/>
        <tr r="I23" s="28"/>
        <tr r="I73" s="28"/>
        <tr r="I33" s="28"/>
        <tr r="I78" s="28"/>
        <tr r="I104" s="28"/>
        <tr r="I58" s="28"/>
        <tr r="I31" s="28"/>
        <tr r="I35" s="28"/>
        <tr r="I67" s="28"/>
        <tr r="I39" s="28"/>
        <tr r="I69" s="28"/>
        <tr r="I53" s="28"/>
        <tr r="I22" s="28"/>
        <tr r="I99" s="28"/>
        <tr r="I34" s="28"/>
        <tr r="I105" s="28"/>
        <tr r="I50" s="28"/>
        <tr r="I79" s="28"/>
        <tr r="I106" s="28"/>
        <tr r="I80" s="28"/>
        <tr r="I57" s="28"/>
        <tr r="I84" s="28"/>
        <tr r="I59" s="28"/>
        <tr r="I86" s="28"/>
        <tr r="I28" s="28"/>
        <tr r="I62" s="28"/>
        <tr r="I30" s="28"/>
        <tr r="I66" s="28"/>
        <tr r="I97" s="28"/>
        <tr r="I24" s="28"/>
        <tr r="I71" s="28"/>
        <tr r="I26" s="28"/>
        <tr r="I40" s="28"/>
        <tr r="I60" s="28"/>
        <tr r="I72" s="28"/>
        <tr r="I87" s="28"/>
        <tr r="I27" s="28"/>
        <tr r="I43" s="28"/>
        <tr r="I75" s="28"/>
        <tr r="I91" s="28"/>
        <tr r="I45" s="28"/>
        <tr r="I63" s="28"/>
        <tr r="I76" s="28"/>
        <tr r="I92" s="28"/>
        <tr r="I47" s="28"/>
        <tr r="I96" s="28"/>
        <tr r="I100" s="28"/>
        <tr r="I29" s="28"/>
      </tp>
      <tp t="s">
        <v>#N/A Requesting Data...4274662774</v>
        <stp/>
        <stp>BDP|4363190642813813459</stp>
        <tr r="K20" s="28"/>
        <tr r="K20" s="28"/>
      </tp>
      <tp t="s">
        <v>#N/A Requesting Data...4278058199</v>
        <stp/>
        <stp>BDP|7987338822608778952</stp>
        <tr r="G17" s="28"/>
        <tr r="G17" s="28"/>
      </tp>
      <tp t="s">
        <v>#N/A N/A</v>
        <stp/>
        <stp>BDP|4290963325868070039</stp>
        <tr r="I9" s="25"/>
      </tp>
      <tp t="s">
        <v>#N/A N/A</v>
        <stp/>
        <stp>BDP|3321024556387086663</stp>
        <tr r="H116" s="2"/>
        <tr r="H116" s="2"/>
      </tp>
      <tp t="s">
        <v>#N/A N/A</v>
        <stp/>
        <stp>BDP|8777593209018356251</stp>
        <tr r="H165" s="2"/>
        <tr r="H165" s="2"/>
      </tp>
      <tp t="s">
        <v>#N/A N/A</v>
        <stp/>
        <stp>BDP|6418054530244086671</stp>
        <tr r="G165" s="2"/>
        <tr r="G165" s="2"/>
      </tp>
      <tp t="s">
        <v>#N/A Requesting Data...4292435148</v>
        <stp/>
        <stp>BDP|6802639616388654910</stp>
        <tr r="F12" s="28"/>
        <tr r="F12" s="28"/>
      </tp>
      <tp t="s">
        <v>#N/A N/A</v>
        <stp/>
        <stp>BDP|5244561165326242084</stp>
        <tr r="L9" s="28"/>
        <tr r="L9" s="28"/>
      </tp>
      <tp t="s">
        <v>#N/A N/A</v>
        <stp/>
        <stp>BDP|4932747312290273267</stp>
        <tr r="E86" s="2"/>
        <tr r="E86" s="2"/>
      </tp>
      <tp t="s">
        <v>#N/A Requesting Data...4288300596</v>
        <stp/>
        <stp>BDP|8975284234069475088</stp>
        <tr r="G91" s="28"/>
        <tr r="G25" s="28"/>
        <tr r="G102" s="28"/>
        <tr r="G29" s="28"/>
        <tr r="G53" s="28"/>
        <tr r="G45" s="28"/>
        <tr r="G90" s="28"/>
        <tr r="G41" s="28"/>
        <tr r="G28" s="28"/>
        <tr r="G66" s="28"/>
        <tr r="G74" s="28"/>
        <tr r="G26" s="28"/>
        <tr r="G54" s="28"/>
        <tr r="G85" s="28"/>
        <tr r="G37" s="28"/>
        <tr r="G70" s="28"/>
        <tr r="G22" s="28"/>
        <tr r="G49" s="28"/>
        <tr r="G51" s="28"/>
        <tr r="G83" s="28"/>
        <tr r="G92" s="28"/>
        <tr r="G80" s="28"/>
        <tr r="G94" s="28"/>
        <tr r="G105" s="28"/>
        <tr r="G100" s="28"/>
        <tr r="G24" s="28"/>
        <tr r="G35" s="28"/>
        <tr r="G52" s="28"/>
        <tr r="G61" s="28"/>
        <tr r="G96" s="28"/>
        <tr r="G68" s="28"/>
        <tr r="G40" s="28"/>
        <tr r="G36" s="28"/>
        <tr r="G63" s="28"/>
        <tr r="G58" s="28"/>
        <tr r="G59" s="28"/>
        <tr r="G106" s="28"/>
        <tr r="G65" s="28"/>
        <tr r="G46" s="28"/>
        <tr r="G27" s="28"/>
        <tr r="G39" s="28"/>
        <tr r="G72" s="28"/>
        <tr r="G56" s="28"/>
        <tr r="G50" s="28"/>
        <tr r="G77" s="28"/>
        <tr r="G44" s="28"/>
        <tr r="G84" s="28"/>
        <tr r="G98" s="28"/>
        <tr r="G62" s="28"/>
        <tr r="G64" s="28"/>
        <tr r="G67" s="28"/>
        <tr r="G73" s="28"/>
        <tr r="G31" s="28"/>
        <tr r="G32" s="28"/>
        <tr r="G82" s="28"/>
        <tr r="G33" s="28"/>
        <tr r="G42" s="28"/>
        <tr r="G87" s="28"/>
        <tr r="G43" s="28"/>
        <tr r="G88" s="28"/>
        <tr r="G60" s="28"/>
        <tr r="G86" s="28"/>
        <tr r="G101" s="28"/>
        <tr r="G103" s="28"/>
        <tr r="G47" s="28"/>
        <tr r="G75" s="28"/>
        <tr r="G93" s="28"/>
        <tr r="G30" s="28"/>
        <tr r="G48" s="28"/>
        <tr r="G95" s="28"/>
        <tr r="G78" s="28"/>
        <tr r="G76" s="28"/>
        <tr r="G97" s="28"/>
        <tr r="G79" s="28"/>
        <tr r="G99" s="28"/>
        <tr r="G104" s="28"/>
        <tr r="G34" s="28"/>
        <tr r="G55" s="28"/>
        <tr r="G69" s="28"/>
        <tr r="G89" s="28"/>
        <tr r="G81" s="28"/>
        <tr r="G23" s="28"/>
        <tr r="G38" s="28"/>
        <tr r="G57" s="28"/>
        <tr r="G71" s="28"/>
      </tp>
      <tp t="s">
        <v>#N/A N/A</v>
        <stp/>
        <stp>BDP|5806651461196739385</stp>
        <tr r="H51" s="2"/>
      </tp>
      <tp t="s">
        <v>#N/A N/A</v>
        <stp/>
        <stp>BDP|8905807082268221081</stp>
        <tr r="F37" s="25"/>
      </tp>
      <tp t="s">
        <v>#N/A Requesting Data...4293686833</v>
        <stp/>
        <stp>BDP|3818610508377519222</stp>
        <tr r="K12" s="28"/>
        <tr r="K12" s="28"/>
      </tp>
      <tp t="s">
        <v>#N/A N/A</v>
        <stp/>
        <stp>BDP|4796679354247246001</stp>
        <tr r="G66" s="2"/>
      </tp>
      <tp t="s">
        <v>#N/A Requesting Data...4293164332</v>
        <stp/>
        <stp>BDP|8021457683907188313</stp>
        <tr r="I15" s="28"/>
        <tr r="I15" s="28"/>
      </tp>
      <tp t="s">
        <v>#N/A Requesting Data...4294656289</v>
        <stp/>
        <stp>BDP|2991103218583193177</stp>
        <tr r="M17" s="28"/>
        <tr r="M17" s="28"/>
      </tp>
      <tp t="s">
        <v>#N/A Requesting Data...3906793082</v>
        <stp/>
        <stp>BDP|3942486277256052616</stp>
        <tr r="J7" s="28"/>
        <tr r="J7" s="28"/>
      </tp>
      <tp t="s">
        <v>#N/A N/A</v>
        <stp/>
        <stp>BDP|5706770200636599417</stp>
        <tr r="G56" s="25"/>
        <tr r="G56" s="25"/>
      </tp>
      <tp t="s">
        <v>#N/A Requesting Data...1550116813</v>
        <stp/>
        <stp>BDP|8953840078505994296</stp>
        <tr r="I13" s="28"/>
        <tr r="I13" s="28"/>
      </tp>
      <tp t="s">
        <v>#N/A Requesting Data...3506222667</v>
        <stp/>
        <stp>BDP|8424842146862222618</stp>
        <tr r="C7" s="13"/>
      </tp>
      <tp t="s">
        <v>#N/A Requesting Data...1897993935</v>
        <stp/>
        <stp>BDP|6667634508879071879</stp>
        <tr r="N14" s="28"/>
        <tr r="N14" s="28"/>
      </tp>
      <tp t="s">
        <v>#N/A Requesting Data...1688376962</v>
        <stp/>
        <stp>BDP|4884404367001750631</stp>
        <tr r="C5" s="13"/>
      </tp>
      <tp t="s">
        <v>#N/A N/A</v>
        <stp/>
        <stp>BDP|5176696310956348503</stp>
        <tr r="I30" s="8"/>
      </tp>
      <tp t="s">
        <v>#N/A Requesting Data...1785080456</v>
        <stp/>
        <stp>BDP|4799146756688842952</stp>
        <tr r="F7" s="28"/>
        <tr r="F7" s="28"/>
      </tp>
      <tp t="s">
        <v>#N/A Requesting Data...1654616509</v>
        <stp/>
        <stp>BDP|9033409992205867036</stp>
        <tr r="G20" s="28"/>
        <tr r="G20" s="28"/>
      </tp>
      <tp t="s">
        <v>#N/A N/A</v>
        <stp/>
        <stp>BDP|5659721579287025345</stp>
        <tr r="H9" s="14"/>
      </tp>
      <tp t="s">
        <v>#N/A Requesting Data...3613233389</v>
        <stp/>
        <stp>BDP|5945826438916903953</stp>
        <tr r="C6" s="13"/>
      </tp>
      <tp t="s">
        <v>#N/A N/A</v>
        <stp/>
        <stp>BDP|8514782581874179205</stp>
        <tr r="F9" s="14"/>
      </tp>
      <tp t="s">
        <v>#N/A Requesting Data...724186085</v>
        <stp/>
        <stp>BDP|8968793995395829209</stp>
        <tr r="J19" s="28"/>
        <tr r="J19" s="28"/>
      </tp>
      <tp t="s">
        <v>#N/A N/A</v>
        <stp/>
        <stp>BDP|7562850989184933229</stp>
        <tr r="G60" s="2"/>
        <tr r="G60" s="2"/>
      </tp>
      <tp t="s">
        <v>#N/A Requesting Data...133113918</v>
        <stp/>
        <stp>BDP|4300723753664768362</stp>
        <tr r="E89" s="13"/>
        <tr r="E95" s="13"/>
        <tr r="E100" s="13"/>
        <tr r="E103" s="13"/>
        <tr r="E52" s="13"/>
        <tr r="E19" s="13"/>
        <tr r="E102" s="13"/>
        <tr r="E62" s="13"/>
        <tr r="E79" s="13"/>
        <tr r="E35" s="13"/>
        <tr r="E11" s="13"/>
        <tr r="E70" s="13"/>
        <tr r="E27" s="13"/>
        <tr r="E36" s="13"/>
        <tr r="E86" s="13"/>
        <tr r="E93" s="13"/>
        <tr r="E44" s="13"/>
        <tr r="E94" s="13"/>
        <tr r="E28" s="13"/>
        <tr r="E13" s="13"/>
        <tr r="E29" s="13"/>
        <tr r="E47" s="13"/>
        <tr r="E64" s="13"/>
        <tr r="E63" s="13"/>
        <tr r="E9" s="13"/>
        <tr r="E12" s="13"/>
        <tr r="E20" s="13"/>
        <tr r="E72" s="13"/>
        <tr r="E56" s="13"/>
        <tr r="E80" s="13"/>
        <tr r="E97" s="13"/>
        <tr r="E14" s="13"/>
        <tr r="E22" s="13"/>
        <tr r="E40" s="13"/>
        <tr r="E65" s="13"/>
        <tr r="E82" s="13"/>
        <tr r="E98" s="13"/>
        <tr r="E45" s="13"/>
        <tr r="E96" s="13"/>
        <tr r="E73" s="13"/>
        <tr r="E31" s="13"/>
        <tr r="E49" s="13"/>
        <tr r="E57" s="13"/>
        <tr r="E66" s="13"/>
        <tr r="E74" s="13"/>
        <tr r="E83" s="13"/>
        <tr r="E90" s="13"/>
        <tr r="E37" s="13"/>
        <tr r="E30" s="13"/>
        <tr r="E15" s="13"/>
        <tr r="E87" s="13"/>
        <tr r="E38" s="13"/>
        <tr r="E10" s="13"/>
        <tr r="E67" s="13"/>
        <tr r="E71" s="13"/>
        <tr r="E55" s="13"/>
        <tr r="E21" s="13"/>
        <tr r="E41" s="13"/>
        <tr r="E99" s="13"/>
        <tr r="E24" s="13"/>
        <tr r="E42" s="13"/>
        <tr r="E50" s="13"/>
        <tr r="E84" s="13"/>
        <tr r="E34" s="13"/>
        <tr r="E59" s="13"/>
        <tr r="E77" s="13"/>
        <tr r="E92" s="13"/>
        <tr r="E8" s="13"/>
        <tr r="E48" s="13"/>
        <tr r="E23" s="13"/>
        <tr r="E58" s="13"/>
        <tr r="E76" s="13"/>
        <tr r="E16" s="13"/>
        <tr r="E33" s="13"/>
        <tr r="E91" s="13"/>
        <tr r="E101" s="13"/>
        <tr r="E17" s="13"/>
        <tr r="E26" s="13"/>
        <tr r="E43" s="13"/>
        <tr r="E51" s="13"/>
        <tr r="E60" s="13"/>
        <tr r="E69" s="13"/>
        <tr r="E78" s="13"/>
        <tr r="E85" s="13"/>
        <tr r="E46" s="13"/>
        <tr r="E81" s="13"/>
        <tr r="E53" s="13"/>
        <tr r="E88" s="13"/>
        <tr r="E18" s="13"/>
        <tr r="E25" s="13"/>
        <tr r="E32" s="13"/>
        <tr r="E39" s="13"/>
        <tr r="E54" s="13"/>
        <tr r="E61" s="13"/>
        <tr r="E68" s="13"/>
        <tr r="E75" s="13"/>
      </tp>
      <tp t="s">
        <v>#N/A Requesting Data...3150480545</v>
        <stp/>
        <stp>BDP|4235975386536709270</stp>
        <tr r="N12" s="28"/>
        <tr r="N12" s="28"/>
      </tp>
      <tp t="s">
        <v>#N/A Requesting Data...1809953563</v>
        <stp/>
        <stp>BDP|1118697858773602028</stp>
        <tr r="J20" s="28"/>
        <tr r="J20" s="28"/>
      </tp>
      <tp t="s">
        <v>#N/A N/A</v>
        <stp/>
        <stp>BDP|3639774513543938414</stp>
        <tr r="AD10" s="13"/>
      </tp>
      <tp t="s">
        <v>#N/A Requesting Data...369001954</v>
        <stp/>
        <stp>BDP|2461076118742768364</stp>
        <tr r="I20" s="28"/>
        <tr r="I20" s="28"/>
      </tp>
      <tp t="s">
        <v>#N/A Requesting Data...2921450683</v>
        <stp/>
        <stp>BDP|8044116787286493598</stp>
        <tr r="L20" s="28"/>
        <tr r="L20" s="28"/>
      </tp>
      <tp t="s">
        <v>#N/A N/A</v>
        <stp/>
        <stp>BDP|8194939525150019199</stp>
        <tr r="F130" s="2"/>
        <tr r="F130" s="2"/>
      </tp>
      <tp t="s">
        <v>#N/A N/A</v>
        <stp/>
        <stp>BDP|1632213449224586145</stp>
        <tr r="F51" s="2"/>
      </tp>
      <tp t="s">
        <v>#N/A N/A</v>
        <stp/>
        <stp>BDP|7576913491134968105</stp>
        <tr r="G137" s="2"/>
        <tr r="G137" s="2"/>
      </tp>
      <tp t="s">
        <v>#N/A Requesting Data...1655019191</v>
        <stp/>
        <stp>BDP|3636319767656319212</stp>
        <tr r="J13" s="28"/>
        <tr r="J13" s="28"/>
      </tp>
      <tp t="s">
        <v>#N/A Requesting Data...494033471</v>
        <stp/>
        <stp>BDP|6074093068682514060</stp>
        <tr r="J92" s="28"/>
        <tr r="J99" s="28"/>
        <tr r="J74" s="28"/>
        <tr r="J36" s="28"/>
        <tr r="J61" s="28"/>
        <tr r="J33" s="28"/>
        <tr r="J87" s="28"/>
        <tr r="J35" s="28"/>
        <tr r="J27" s="28"/>
        <tr r="J34" s="28"/>
        <tr r="J86" s="28"/>
        <tr r="J91" s="28"/>
        <tr r="J63" s="28"/>
        <tr r="J55" s="28"/>
        <tr r="J72" s="28"/>
        <tr r="J50" s="28"/>
        <tr r="J98" s="28"/>
        <tr r="J60" s="28"/>
        <tr r="J32" s="28"/>
        <tr r="J38" s="28"/>
        <tr r="J47" s="28"/>
        <tr r="J68" s="28"/>
        <tr r="J30" s="28"/>
        <tr r="J41" s="28"/>
        <tr r="J100" s="28"/>
        <tr r="J70" s="28"/>
        <tr r="J29" s="28"/>
        <tr r="J85" s="28"/>
        <tr r="J78" s="28"/>
        <tr r="J54" s="28"/>
        <tr r="J39" s="28"/>
        <tr r="J79" s="28"/>
        <tr r="J83" s="28"/>
        <tr r="J26" s="28"/>
        <tr r="J81" s="28"/>
        <tr r="J76" s="28"/>
        <tr r="J106" s="28"/>
        <tr r="J44" s="28"/>
        <tr r="J40" s="28"/>
        <tr r="J71" s="28"/>
        <tr r="J96" s="28"/>
        <tr r="J69" s="28"/>
        <tr r="J105" s="28"/>
        <tr r="J22" s="28"/>
        <tr r="J94" s="28"/>
        <tr r="J24" s="28"/>
        <tr r="J45" s="28"/>
        <tr r="J95" s="28"/>
        <tr r="J51" s="28"/>
        <tr r="J52" s="28"/>
        <tr r="J53" s="28"/>
        <tr r="J23" s="28"/>
        <tr r="J56" s="28"/>
        <tr r="J31" s="28"/>
        <tr r="J82" s="28"/>
        <tr r="J64" s="28"/>
        <tr r="J88" s="28"/>
        <tr r="J101" s="28"/>
        <tr r="J42" s="28"/>
        <tr r="J102" s="28"/>
        <tr r="J65" s="28"/>
        <tr r="J93" s="28"/>
        <tr r="J43" s="28"/>
        <tr r="J84" s="28"/>
        <tr r="J25" s="28"/>
        <tr r="J46" s="28"/>
        <tr r="J89" s="28"/>
        <tr r="J103" s="28"/>
        <tr r="J59" s="28"/>
        <tr r="J73" s="28"/>
        <tr r="J28" s="28"/>
        <tr r="J62" s="28"/>
        <tr r="J104" s="28"/>
        <tr r="J75" s="28"/>
        <tr r="J48" s="28"/>
        <tr r="J57" s="28"/>
        <tr r="J66" s="28"/>
        <tr r="J77" s="28"/>
        <tr r="J90" s="28"/>
        <tr r="J97" s="28"/>
        <tr r="J37" s="28"/>
        <tr r="J49" s="28"/>
        <tr r="J58" s="28"/>
        <tr r="J67" s="28"/>
        <tr r="J80" s="28"/>
      </tp>
      <tp t="s">
        <v>#N/A Requesting Data...1913753236</v>
        <stp/>
        <stp>BDP|6953776533295785591</stp>
        <tr r="E21" s="28"/>
        <tr r="E21" s="28"/>
      </tp>
      <tp t="s">
        <v>#N/A N/A</v>
        <stp/>
        <stp>BDP|6338908603909451479</stp>
        <tr r="G11" s="14"/>
      </tp>
      <tp t="s">
        <v>#N/A Requesting Data...1964083399</v>
        <stp/>
        <stp>BDP|6227229050464717767</stp>
        <tr r="J10" s="28"/>
        <tr r="J10" s="28"/>
      </tp>
      <tp t="s">
        <v>#N/A N/A</v>
        <stp/>
        <stp>BDP|4844094008193064586</stp>
        <tr r="Z14" s="13"/>
      </tp>
      <tp t="s">
        <v>#N/A N/A</v>
        <stp/>
        <stp>BDP|1325467918786854029</stp>
        <tr r="I54" s="25"/>
        <tr r="I54" s="25"/>
      </tp>
      <tp t="s">
        <v>#N/A Requesting Data...2027964188</v>
        <stp/>
        <stp>BDP|2575542627853441458</stp>
        <tr r="L10" s="28"/>
        <tr r="L10" s="28"/>
      </tp>
      <tp t="s">
        <v>#N/A N/A</v>
        <stp/>
        <stp>BDP|7376787941290802668</stp>
        <tr r="E117" s="2"/>
      </tp>
      <tp t="s">
        <v>#N/A N/A</v>
        <stp/>
        <stp>BDP|5544665570356284043</stp>
        <tr r="E150" s="2"/>
        <tr r="E150" s="2"/>
      </tp>
      <tp t="s">
        <v>#N/A N/A</v>
        <stp/>
        <stp>BDP|2470804885829767935</stp>
        <tr r="H166" s="2"/>
      </tp>
      <tp t="s">
        <v>#N/A N/A</v>
        <stp/>
        <stp>BDP|3210134663912230458</stp>
        <tr r="G164" s="2"/>
        <tr r="G164" s="2"/>
      </tp>
      <tp t="s">
        <v>#N/A Requesting Data...3914911971</v>
        <stp/>
        <stp>BDP|7893233622496633256</stp>
        <tr r="G5" s="13"/>
      </tp>
      <tp t="s">
        <v>#N/A N/A</v>
        <stp/>
        <stp>BDP|5133712620604860726</stp>
        <tr r="G55" s="25"/>
      </tp>
      <tp t="s">
        <v>#N/A N/A</v>
        <stp/>
        <stp>BDP|1327002400713286194</stp>
        <tr r="AA14" s="13"/>
      </tp>
      <tp t="s">
        <v>#N/A N/A</v>
        <stp/>
        <stp>BDP|3994121746497391269</stp>
        <tr r="I166" s="2"/>
      </tp>
      <tp t="s">
        <v>#N/A Requesting Data...1197957496</v>
        <stp/>
        <stp>BDP|6073805943941983820</stp>
        <tr r="O16" s="28"/>
        <tr r="O16" s="28"/>
      </tp>
      <tp t="s">
        <v>#N/A N/A</v>
        <stp/>
        <stp>BDP|4810539827825670534</stp>
        <tr r="I8" s="14"/>
      </tp>
      <tp t="s">
        <v>#N/A N/A</v>
        <stp/>
        <stp>BDP|9052380687892164312</stp>
        <tr r="H57" s="2"/>
      </tp>
      <tp t="s">
        <v>#N/A Requesting Data...3627841576</v>
        <stp/>
        <stp>BDP|5235521414177957528</stp>
        <tr r="G18" s="28"/>
        <tr r="G18" s="28"/>
      </tp>
      <tp t="s">
        <v>#N/A N/A</v>
        <stp/>
        <stp>BDP|5182377997919447590</stp>
        <tr r="F116" s="2"/>
        <tr r="F116" s="2"/>
      </tp>
      <tp t="s">
        <v>#N/A N/A</v>
        <stp/>
        <stp>BDP|5154802444672059890</stp>
        <tr r="H60" s="2"/>
        <tr r="H60" s="2"/>
      </tp>
      <tp t="s">
        <v>#N/A N/A</v>
        <stp/>
        <stp>BDP|1189346893438900024</stp>
        <tr r="J9" s="28"/>
        <tr r="J9" s="28"/>
      </tp>
      <tp t="s">
        <v>#N/A N/A</v>
        <stp/>
        <stp>BDP|6805933993745720027</stp>
        <tr r="H136" s="2"/>
        <tr r="H136" s="2"/>
      </tp>
      <tp t="s">
        <v>#N/A N/A</v>
        <stp/>
        <stp>BDP|3888695133475717077</stp>
        <tr r="G54" s="25"/>
        <tr r="G54" s="25"/>
      </tp>
      <tp t="s">
        <v>#N/A Requesting Data...526094633</v>
        <stp/>
        <stp>BDP|9526973891229471354</stp>
        <tr r="E20" s="28"/>
        <tr r="E20" s="28"/>
      </tp>
      <tp t="s">
        <v>#N/A N/A</v>
        <stp/>
        <stp>BDP|3141955922629743237</stp>
        <tr r="Z10" s="13"/>
      </tp>
      <tp t="s">
        <v>#N/A Requesting Data...3905558830</v>
        <stp/>
        <stp>BDP|9192854551856341169</stp>
        <tr r="G19" s="28"/>
        <tr r="G19" s="28"/>
      </tp>
      <tp t="s">
        <v>#N/A N/A</v>
        <stp/>
        <stp>BDP|51474394454366811</stp>
        <tr r="I55" s="25"/>
      </tp>
      <tp t="s">
        <v>#N/A N/A</v>
        <stp/>
        <stp>BDP|203200244261722169</stp>
        <tr r="D8" s="14"/>
      </tp>
      <tp t="s">
        <v>#N/A N/A</v>
        <stp/>
        <stp>BDP|752792267430372168</stp>
        <tr r="E18" s="14"/>
      </tp>
      <tp t="s">
        <v>#N/A Requesting Data...3759400972</v>
        <stp/>
        <stp>BDP|231933884566714774</stp>
        <tr r="O11" s="28"/>
        <tr r="O11" s="28"/>
      </tp>
      <tp t="s">
        <v>#N/A N/A</v>
        <stp/>
        <stp>BDP|322907205638811184</stp>
        <tr r="I56" s="25"/>
        <tr r="I56" s="25"/>
      </tp>
      <tp t="s">
        <v>#N/A N/A</v>
        <stp/>
        <stp>BDP|321701676897335710</stp>
        <tr r="H48" s="2"/>
      </tp>
      <tp t="s">
        <v>#N/A Requesting Data...4085615780</v>
        <stp/>
        <stp>BDP|878909236169085148</stp>
        <tr r="L91" s="28"/>
        <tr r="L73" s="28"/>
        <tr r="L43" s="28"/>
        <tr r="L54" s="28"/>
        <tr r="L25" s="28"/>
        <tr r="L47" s="28"/>
        <tr r="L89" s="28"/>
        <tr r="L69" s="28"/>
        <tr r="L100" s="28"/>
        <tr r="L57" s="28"/>
        <tr r="L32" s="28"/>
        <tr r="L77" s="28"/>
        <tr r="L36" s="28"/>
        <tr r="L38" s="28"/>
        <tr r="L55" s="28"/>
        <tr r="L26" s="28"/>
        <tr r="L79" s="28"/>
        <tr r="L106" s="28"/>
        <tr r="L37" s="28"/>
        <tr r="L23" s="28"/>
        <tr r="L30" s="28"/>
        <tr r="L46" s="28"/>
        <tr r="L75" s="28"/>
        <tr r="L93" s="28"/>
        <tr r="L83" s="28"/>
        <tr r="L94" s="28"/>
        <tr r="L92" s="28"/>
        <tr r="L50" s="28"/>
        <tr r="L99" s="28"/>
        <tr r="L82" s="28"/>
        <tr r="L48" s="28"/>
        <tr r="L62" s="28"/>
        <tr r="L56" s="28"/>
        <tr r="L59" s="28"/>
        <tr r="L70" s="28"/>
        <tr r="L66" s="28"/>
        <tr r="L87" s="28"/>
        <tr r="L98" s="28"/>
        <tr r="L96" s="28"/>
        <tr r="L104" s="28"/>
        <tr r="L35" s="28"/>
        <tr r="L63" s="28"/>
        <tr r="L90" s="28"/>
        <tr r="L64" s="28"/>
        <tr r="L71" s="28"/>
        <tr r="L95" s="28"/>
        <tr r="L103" s="28"/>
        <tr r="L45" s="28"/>
        <tr r="L49" s="28"/>
        <tr r="L105" s="28"/>
        <tr r="L51" s="28"/>
        <tr r="L80" s="28"/>
        <tr r="L52" s="28"/>
        <tr r="L28" s="28"/>
        <tr r="L39" s="28"/>
        <tr r="L81" s="28"/>
        <tr r="L97" s="28"/>
        <tr r="L27" s="28"/>
        <tr r="L40" s="28"/>
        <tr r="L68" s="28"/>
        <tr r="L84" s="28"/>
        <tr r="L41" s="28"/>
        <tr r="L85" s="28"/>
        <tr r="L101" s="28"/>
        <tr r="L29" s="28"/>
        <tr r="L60" s="28"/>
        <tr r="L72" s="28"/>
        <tr r="L102" s="28"/>
        <tr r="L61" s="28"/>
        <tr r="L31" s="28"/>
        <tr r="L74" s="28"/>
        <tr r="L22" s="28"/>
        <tr r="L33" s="28"/>
        <tr r="L42" s="28"/>
        <tr r="L53" s="28"/>
        <tr r="L65" s="28"/>
        <tr r="L76" s="28"/>
        <tr r="L86" s="28"/>
        <tr r="L24" s="28"/>
        <tr r="L34" s="28"/>
        <tr r="L44" s="28"/>
        <tr r="L58" s="28"/>
        <tr r="L67" s="28"/>
        <tr r="L78" s="28"/>
        <tr r="L88" s="28"/>
      </tp>
      <tp t="s">
        <v>#N/A N/A</v>
        <stp/>
        <stp>BDP|311154564214016138</stp>
        <tr r="E51" s="2"/>
      </tp>
      <tp t="s">
        <v>#N/A N/A</v>
        <stp/>
        <stp>BDP|947973619372035682</stp>
        <tr r="I48" s="2"/>
      </tp>
      <tp t="s">
        <v>#N/A N/A</v>
        <stp/>
        <stp>BDP|596974150083829305</stp>
        <tr r="AB10" s="13"/>
      </tp>
      <tp t="s">
        <v>#N/A N/A</v>
        <stp/>
        <stp>BDP|625998672604726573</stp>
        <tr r="G16" s="14"/>
      </tp>
      <tp t="s">
        <v>#N/A Requesting Data...2577855653</v>
        <stp/>
        <stp>BDP|723337144398315191</stp>
        <tr r="N73" s="28"/>
        <tr r="N81" s="28"/>
        <tr r="N24" s="28"/>
        <tr r="N86" s="28"/>
        <tr r="N91" s="28"/>
        <tr r="N41" s="28"/>
        <tr r="N67" s="28"/>
        <tr r="N85" s="28"/>
        <tr r="N100" s="28"/>
        <tr r="N62" s="28"/>
        <tr r="N77" s="28"/>
        <tr r="N61" s="28"/>
        <tr r="N22" s="28"/>
        <tr r="N78" s="28"/>
        <tr r="N70" s="28"/>
        <tr r="N50" s="28"/>
        <tr r="N79" s="28"/>
        <tr r="N34" s="28"/>
        <tr r="N95" s="28"/>
        <tr r="N58" s="28"/>
        <tr r="N27" s="28"/>
        <tr r="N105" s="28"/>
        <tr r="N59" s="28"/>
        <tr r="N88" s="28"/>
        <tr r="N44" s="28"/>
        <tr r="N26" s="28"/>
        <tr r="N103" s="28"/>
        <tr r="N96" s="28"/>
        <tr r="N63" s="28"/>
        <tr r="N104" s="28"/>
        <tr r="N66" s="28"/>
        <tr r="N92" s="28"/>
        <tr r="N25" s="28"/>
        <tr r="N60" s="28"/>
        <tr r="N33" s="28"/>
        <tr r="N75" s="28"/>
        <tr r="N93" s="28"/>
        <tr r="N94" s="28"/>
        <tr r="N72" s="28"/>
        <tr r="N49" s="28"/>
        <tr r="N98" s="28"/>
        <tr r="N99" s="28"/>
        <tr r="N32" s="28"/>
        <tr r="N51" s="28"/>
        <tr r="N31" s="28"/>
        <tr r="N74" s="28"/>
        <tr r="N101" s="28"/>
        <tr r="N52" s="28"/>
        <tr r="N102" s="28"/>
        <tr r="N37" s="28"/>
        <tr r="N53" s="28"/>
        <tr r="N39" s="28"/>
        <tr r="N55" s="28"/>
        <tr r="N76" s="28"/>
        <tr r="N106" s="28"/>
        <tr r="N40" s="28"/>
        <tr r="N56" s="28"/>
        <tr r="N80" s="28"/>
        <tr r="N28" s="28"/>
        <tr r="N42" s="28"/>
        <tr r="N84" s="28"/>
        <tr r="N30" s="28"/>
        <tr r="N43" s="28"/>
        <tr r="N64" s="28"/>
        <tr r="N89" s="28"/>
        <tr r="N65" s="28"/>
        <tr r="N47" s="28"/>
        <tr r="N90" s="28"/>
        <tr r="N68" s="28"/>
        <tr r="N23" s="28"/>
        <tr r="N35" s="28"/>
        <tr r="N45" s="28"/>
        <tr r="N54" s="28"/>
        <tr r="N69" s="28"/>
        <tr r="N82" s="28"/>
        <tr r="N97" s="28"/>
        <tr r="N36" s="28"/>
        <tr r="N46" s="28"/>
        <tr r="N71" s="28"/>
        <tr r="N83" s="28"/>
        <tr r="N48" s="28"/>
        <tr r="N87" s="28"/>
        <tr r="N29" s="28"/>
        <tr r="N38" s="28"/>
        <tr r="N57" s="28"/>
      </tp>
      <tp t="s">
        <v>#N/A N/A</v>
        <stp/>
        <stp>BDP|110004744615209810</stp>
        <tr r="G63" s="2"/>
      </tp>
      <tp t="s">
        <v>#N/A N/A</v>
        <stp/>
        <stp>BDP|287994062636746121</stp>
        <tr r="E128" s="2"/>
      </tp>
      <tp t="s">
        <v>#N/A Requesting Data...2930890192</v>
        <stp/>
        <stp>BDP|314521908928280598</stp>
        <tr r="I17" s="28"/>
        <tr r="I17" s="28"/>
      </tp>
      <tp t="s">
        <v>#N/A N/A</v>
        <stp/>
        <stp>BDP|874378084523437368</stp>
        <tr r="I164" s="2"/>
        <tr r="I164" s="2"/>
      </tp>
      <tp t="s">
        <v>#N/A Requesting Data...986249758</v>
        <stp/>
        <stp>BDP|867661090905348179</stp>
        <tr r="J15" s="28"/>
        <tr r="J15" s="28"/>
      </tp>
      <tp t="s">
        <v>#N/A Requesting Data...809625483</v>
        <stp/>
        <stp>BDP|988398496150721161</stp>
        <tr r="H17" s="28"/>
        <tr r="H17" s="28"/>
      </tp>
      <tp t="s">
        <v>#N/A Requesting Data...2973357036</v>
        <stp/>
        <stp>BDP|971334849464750835</stp>
        <tr r="H12" s="28"/>
        <tr r="H12" s="28"/>
      </tp>
    </main>
  </volType>
</volTypes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ustomXml" Target="../customXml/item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haredStrings" Target="sharedStrings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tyles" Target="styles.xml"/><Relationship Id="rId30" Type="http://schemas.microsoft.com/office/2017/10/relationships/person" Target="persons/person.xml"/><Relationship Id="rId35" Type="http://schemas.openxmlformats.org/officeDocument/2006/relationships/volatileDependencies" Target="volatileDependencies.xml"/><Relationship Id="rId8" Type="http://schemas.openxmlformats.org/officeDocument/2006/relationships/worksheet" Target="worksheets/sheet8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Unelevered Free Cash Flow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4"/>
          <c:order val="0"/>
          <c:tx>
            <c:v>Future Free Cash Flow</c:v>
          </c:tx>
          <c:invertIfNegative val="0"/>
          <c:cat>
            <c:numRef>
              <c:f>DCF!$E$16:$N$16</c:f>
              <c:numCache>
                <c:formatCode>[$-409]dd\-mmm\-yy</c:formatCode>
                <c:ptCount val="10"/>
                <c:pt idx="0">
                  <c:v>43830</c:v>
                </c:pt>
                <c:pt idx="1">
                  <c:v>44196</c:v>
                </c:pt>
                <c:pt idx="2">
                  <c:v>44561</c:v>
                </c:pt>
                <c:pt idx="3">
                  <c:v>44926</c:v>
                </c:pt>
                <c:pt idx="4">
                  <c:v>45291</c:v>
                </c:pt>
                <c:pt idx="5">
                  <c:v>45657</c:v>
                </c:pt>
                <c:pt idx="6">
                  <c:v>46022</c:v>
                </c:pt>
                <c:pt idx="7">
                  <c:v>46387</c:v>
                </c:pt>
                <c:pt idx="8">
                  <c:v>46752</c:v>
                </c:pt>
                <c:pt idx="9">
                  <c:v>47118</c:v>
                </c:pt>
              </c:numCache>
            </c:numRef>
          </c:cat>
          <c:val>
            <c:numRef>
              <c:f>DCF!$E$35:$N$35</c:f>
              <c:numCache>
                <c:formatCode>General</c:formatCode>
                <c:ptCount val="10"/>
                <c:pt idx="5" formatCode="_(* #,##0.0_);_(* \(#,##0.0\);_(* &quot;-&quot;??_);_(@_)">
                  <c:v>0</c:v>
                </c:pt>
                <c:pt idx="6" formatCode="_(* #,##0.0_);_(* \(#,##0.0\);_(* &quot;-&quot;??_);_(@_)">
                  <c:v>0</c:v>
                </c:pt>
                <c:pt idx="7" formatCode="_(* #,##0.0_);_(* \(#,##0.0\);_(* &quot;-&quot;??_);_(@_)">
                  <c:v>0</c:v>
                </c:pt>
                <c:pt idx="8" formatCode="_(* #,##0.0_);_(* \(#,##0.0\);_(* &quot;-&quot;??_);_(@_)">
                  <c:v>0</c:v>
                </c:pt>
                <c:pt idx="9" formatCode="_(* #,##0.0_);_(* \(#,##0.0\);_(* &quot;-&quot;??_);_(@_)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AAD4-4C7E-A62F-2FB606FF9222}"/>
            </c:ext>
          </c:extLst>
        </c:ser>
        <c:ser>
          <c:idx val="5"/>
          <c:order val="1"/>
          <c:tx>
            <c:v>Past Free Cash Flow</c:v>
          </c:tx>
          <c:invertIfNegative val="0"/>
          <c:cat>
            <c:numRef>
              <c:f>DCF!$E$16:$N$16</c:f>
              <c:numCache>
                <c:formatCode>[$-409]dd\-mmm\-yy</c:formatCode>
                <c:ptCount val="10"/>
                <c:pt idx="0">
                  <c:v>43830</c:v>
                </c:pt>
                <c:pt idx="1">
                  <c:v>44196</c:v>
                </c:pt>
                <c:pt idx="2">
                  <c:v>44561</c:v>
                </c:pt>
                <c:pt idx="3">
                  <c:v>44926</c:v>
                </c:pt>
                <c:pt idx="4">
                  <c:v>45291</c:v>
                </c:pt>
                <c:pt idx="5">
                  <c:v>45657</c:v>
                </c:pt>
                <c:pt idx="6">
                  <c:v>46022</c:v>
                </c:pt>
                <c:pt idx="7">
                  <c:v>46387</c:v>
                </c:pt>
                <c:pt idx="8">
                  <c:v>46752</c:v>
                </c:pt>
                <c:pt idx="9">
                  <c:v>47118</c:v>
                </c:pt>
              </c:numCache>
            </c:numRef>
          </c:cat>
          <c:val>
            <c:numRef>
              <c:f>DCF!$E$32:$I$32</c:f>
              <c:numCache>
                <c:formatCode>_(* #,##0.0_);_(* \(#,##0.0\);_(* "-"??_);_(@_)</c:formatCode>
                <c:ptCount val="5"/>
                <c:pt idx="0">
                  <c:v>1567.8125199999997</c:v>
                </c:pt>
                <c:pt idx="1">
                  <c:v>-288.76800000000003</c:v>
                </c:pt>
                <c:pt idx="2">
                  <c:v>9361.64</c:v>
                </c:pt>
                <c:pt idx="3">
                  <c:v>8252.5299999999988</c:v>
                </c:pt>
                <c:pt idx="4">
                  <c:v>8426.7800000000007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AAD4-4C7E-A62F-2FB606FF9222}"/>
            </c:ext>
          </c:extLst>
        </c:ser>
        <c:ser>
          <c:idx val="0"/>
          <c:order val="2"/>
          <c:tx>
            <c:v>Future Synergy Free Cash Flows</c:v>
          </c:tx>
          <c:invertIfNegative val="0"/>
          <c:val>
            <c:numRef>
              <c:f>DCF_Synergies!$D$35:$M$35</c:f>
              <c:numCache>
                <c:formatCode>General</c:formatCode>
                <c:ptCount val="10"/>
                <c:pt idx="5" formatCode="_(* #,##0.0_);_(* \(#,##0.0\);_(* &quot;-&quot;??_);_(@_)">
                  <c:v>0</c:v>
                </c:pt>
                <c:pt idx="6" formatCode="_(* #,##0.0_);_(* \(#,##0.0\);_(* &quot;-&quot;??_);_(@_)">
                  <c:v>0</c:v>
                </c:pt>
                <c:pt idx="7" formatCode="_(* #,##0.0_);_(* \(#,##0.0\);_(* &quot;-&quot;??_);_(@_)">
                  <c:v>0</c:v>
                </c:pt>
                <c:pt idx="8" formatCode="_(* #,##0.0_);_(* \(#,##0.0\);_(* &quot;-&quot;??_);_(@_)">
                  <c:v>0</c:v>
                </c:pt>
                <c:pt idx="9" formatCode="_(* #,##0.0_);_(* \(#,##0.0\);_(* &quot;-&quot;??_);_(@_)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AAD4-4C7E-A62F-2FB606FF92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07529167"/>
        <c:axId val="107551247"/>
      </c:barChart>
      <c:dateAx>
        <c:axId val="107529167"/>
        <c:scaling>
          <c:orientation val="minMax"/>
        </c:scaling>
        <c:delete val="0"/>
        <c:axPos val="b"/>
        <c:numFmt formatCode="[$-409]d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7551247"/>
        <c:crosses val="autoZero"/>
        <c:auto val="1"/>
        <c:lblOffset val="100"/>
        <c:baseTimeUnit val="years"/>
      </c:dateAx>
      <c:valAx>
        <c:axId val="1075512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7529167"/>
        <c:crosses val="autoZero"/>
        <c:crossBetween val="between"/>
      </c:valAx>
    </c:plotArea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Regular DCF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DCF!$C$49</c:f>
              <c:strCache>
                <c:ptCount val="1"/>
                <c:pt idx="0">
                  <c:v>Implied Share Value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2"/>
              <c:pt idx="0">
                <c:v>Exit Multiple Method</c:v>
              </c:pt>
              <c:pt idx="1">
                <c:v> PGG Method</c:v>
              </c:pt>
            </c:strLit>
          </c:cat>
          <c:val>
            <c:numRef>
              <c:f>(DCF!$D$49,DCF!$D$63)</c:f>
              <c:numCache>
                <c:formatCode>_(* #,##0.00_);_(* \(#,##0.00\);_(* "-"??_);_(@_)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4ED-446B-AE92-6B83977510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107547887"/>
        <c:axId val="107554607"/>
      </c:barChart>
      <c:lineChart>
        <c:grouping val="standard"/>
        <c:varyColors val="0"/>
        <c:ser>
          <c:idx val="1"/>
          <c:order val="1"/>
          <c:tx>
            <c:strRef>
              <c:f>DCF!$C$50</c:f>
              <c:strCache>
                <c:ptCount val="1"/>
                <c:pt idx="0">
                  <c:v>Implied Upside/(Downside)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2"/>
              <c:pt idx="0">
                <c:v>Exit Multiple Method</c:v>
              </c:pt>
              <c:pt idx="1">
                <c:v> PGG Method</c:v>
              </c:pt>
            </c:strLit>
          </c:cat>
          <c:val>
            <c:numRef>
              <c:f>(DCF!$D$50,DCF!$D$64)</c:f>
              <c:numCache>
                <c:formatCode>0.00%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4ED-446B-AE92-6B83977510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29620031"/>
        <c:axId val="1329631551"/>
      </c:lineChart>
      <c:catAx>
        <c:axId val="10754788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7554607"/>
        <c:crosses val="autoZero"/>
        <c:auto val="1"/>
        <c:lblAlgn val="ctr"/>
        <c:lblOffset val="100"/>
        <c:noMultiLvlLbl val="0"/>
      </c:catAx>
      <c:valAx>
        <c:axId val="1075546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.00_);_(* \(#,##0.0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7547887"/>
        <c:crosses val="autoZero"/>
        <c:crossBetween val="between"/>
      </c:valAx>
      <c:valAx>
        <c:axId val="1329631551"/>
        <c:scaling>
          <c:orientation val="minMax"/>
        </c:scaling>
        <c:delete val="0"/>
        <c:axPos val="r"/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29620031"/>
        <c:crosses val="max"/>
        <c:crossBetween val="between"/>
      </c:valAx>
      <c:catAx>
        <c:axId val="132962003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329631551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DCF With Synergies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DCF_Synergies!$B$49</c:f>
              <c:strCache>
                <c:ptCount val="1"/>
                <c:pt idx="0">
                  <c:v>Implied Share Value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2"/>
              <c:pt idx="0">
                <c:v>Exit Multiple Method</c:v>
              </c:pt>
              <c:pt idx="1">
                <c:v> PGG Method</c:v>
              </c:pt>
            </c:strLit>
          </c:cat>
          <c:val>
            <c:numRef>
              <c:f>(DCF_Synergies!$C$49,DCF_Synergies!$C$63)</c:f>
              <c:numCache>
                <c:formatCode>_(* #,##0.0_);_(* \(#,##0.0\);_(* "-"??_);_(@_)</c:formatCode>
                <c:ptCount val="2"/>
                <c:pt idx="0">
                  <c:v>0</c:v>
                </c:pt>
                <c:pt idx="1">
                  <c:v>0</c:v>
                </c:pt>
              </c:numCache>
              <c:extLst/>
            </c:numRef>
          </c:val>
          <c:extLst>
            <c:ext xmlns:c16="http://schemas.microsoft.com/office/drawing/2014/chart" uri="{C3380CC4-5D6E-409C-BE32-E72D297353CC}">
              <c16:uniqueId val="{00000000-5A19-463B-A210-FE6AA519829A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408726831"/>
        <c:axId val="408728271"/>
      </c:barChart>
      <c:lineChart>
        <c:grouping val="standard"/>
        <c:varyColors val="0"/>
        <c:ser>
          <c:idx val="1"/>
          <c:order val="1"/>
          <c:tx>
            <c:strRef>
              <c:f>DCF_Synergies!$B$50</c:f>
              <c:strCache>
                <c:ptCount val="1"/>
                <c:pt idx="0">
                  <c:v>Implied Upside/(Downside)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2"/>
              <c:pt idx="0">
                <c:v>Exit Multiple Method</c:v>
              </c:pt>
              <c:pt idx="1">
                <c:v> PGG Method</c:v>
              </c:pt>
            </c:strLit>
          </c:cat>
          <c:val>
            <c:numRef>
              <c:f>(DCF_Synergies!$C$50,DCF_Synergies!$C$64)</c:f>
              <c:numCache>
                <c:formatCode>0.00%</c:formatCode>
                <c:ptCount val="2"/>
                <c:pt idx="0">
                  <c:v>0</c:v>
                </c:pt>
                <c:pt idx="1">
                  <c:v>0</c:v>
                </c:pt>
              </c:numCache>
              <c:extLst/>
            </c:numRef>
          </c:val>
          <c:smooth val="0"/>
          <c:extLst>
            <c:ext xmlns:c16="http://schemas.microsoft.com/office/drawing/2014/chart" uri="{C3380CC4-5D6E-409C-BE32-E72D297353CC}">
              <c16:uniqueId val="{00000004-5A19-463B-A210-FE6AA51982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15546575"/>
        <c:axId val="1015925791"/>
      </c:lineChart>
      <c:catAx>
        <c:axId val="40872683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8728271"/>
        <c:crosses val="autoZero"/>
        <c:auto val="1"/>
        <c:lblAlgn val="ctr"/>
        <c:lblOffset val="100"/>
        <c:noMultiLvlLbl val="0"/>
      </c:catAx>
      <c:valAx>
        <c:axId val="4087282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.0_);_(* \(#,##0.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8726831"/>
        <c:crosses val="autoZero"/>
        <c:crossBetween val="between"/>
      </c:valAx>
      <c:valAx>
        <c:axId val="1015925791"/>
        <c:scaling>
          <c:orientation val="minMax"/>
        </c:scaling>
        <c:delete val="0"/>
        <c:axPos val="r"/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15546575"/>
        <c:crosses val="max"/>
        <c:crossBetween val="between"/>
      </c:valAx>
      <c:catAx>
        <c:axId val="1015546575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015925791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342900</xdr:colOff>
          <xdr:row>26</xdr:row>
          <xdr:rowOff>171450</xdr:rowOff>
        </xdr:from>
        <xdr:to>
          <xdr:col>10</xdr:col>
          <xdr:colOff>314325</xdr:colOff>
          <xdr:row>29</xdr:row>
          <xdr:rowOff>152400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1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To Debt Schedule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266700</xdr:colOff>
          <xdr:row>35</xdr:row>
          <xdr:rowOff>57150</xdr:rowOff>
        </xdr:from>
        <xdr:to>
          <xdr:col>10</xdr:col>
          <xdr:colOff>238125</xdr:colOff>
          <xdr:row>38</xdr:row>
          <xdr:rowOff>38100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1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To Time Series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342900</xdr:colOff>
          <xdr:row>42</xdr:row>
          <xdr:rowOff>85725</xdr:rowOff>
        </xdr:from>
        <xdr:to>
          <xdr:col>12</xdr:col>
          <xdr:colOff>314325</xdr:colOff>
          <xdr:row>45</xdr:row>
          <xdr:rowOff>66675</xdr:rowOff>
        </xdr:to>
        <xdr:sp macro="" textlink="">
          <xdr:nvSpPr>
            <xdr:cNvPr id="10243" name="Button 3" hidden="1">
              <a:extLst>
                <a:ext uri="{63B3BB69-23CF-44E3-9099-C40C66FF867C}">
                  <a14:compatExt spid="_x0000_s10243"/>
                </a:ext>
                <a:ext uri="{FF2B5EF4-FFF2-40B4-BE49-F238E27FC236}">
                  <a16:creationId xmlns:a16="http://schemas.microsoft.com/office/drawing/2014/main" id="{00000000-0008-0000-0100-00000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To WACC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704850</xdr:colOff>
          <xdr:row>29</xdr:row>
          <xdr:rowOff>152400</xdr:rowOff>
        </xdr:from>
        <xdr:to>
          <xdr:col>22</xdr:col>
          <xdr:colOff>542925</xdr:colOff>
          <xdr:row>32</xdr:row>
          <xdr:rowOff>133350</xdr:rowOff>
        </xdr:to>
        <xdr:sp macro="" textlink="">
          <xdr:nvSpPr>
            <xdr:cNvPr id="10244" name="Button 4" hidden="1">
              <a:extLst>
                <a:ext uri="{63B3BB69-23CF-44E3-9099-C40C66FF867C}">
                  <a14:compatExt spid="_x0000_s10244"/>
                </a:ext>
                <a:ext uri="{FF2B5EF4-FFF2-40B4-BE49-F238E27FC236}">
                  <a16:creationId xmlns:a16="http://schemas.microsoft.com/office/drawing/2014/main" id="{00000000-0008-0000-0100-000004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To LBO Model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476250</xdr:colOff>
          <xdr:row>41</xdr:row>
          <xdr:rowOff>152400</xdr:rowOff>
        </xdr:from>
        <xdr:to>
          <xdr:col>22</xdr:col>
          <xdr:colOff>314325</xdr:colOff>
          <xdr:row>44</xdr:row>
          <xdr:rowOff>133350</xdr:rowOff>
        </xdr:to>
        <xdr:sp macro="" textlink="">
          <xdr:nvSpPr>
            <xdr:cNvPr id="10245" name="Button 5" hidden="1">
              <a:extLst>
                <a:ext uri="{63B3BB69-23CF-44E3-9099-C40C66FF867C}">
                  <a14:compatExt spid="_x0000_s10245"/>
                </a:ext>
                <a:ext uri="{FF2B5EF4-FFF2-40B4-BE49-F238E27FC236}">
                  <a16:creationId xmlns:a16="http://schemas.microsoft.com/office/drawing/2014/main" id="{00000000-0008-0000-0100-000005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To Merger Model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514350</xdr:colOff>
          <xdr:row>22</xdr:row>
          <xdr:rowOff>161925</xdr:rowOff>
        </xdr:from>
        <xdr:to>
          <xdr:col>22</xdr:col>
          <xdr:colOff>352425</xdr:colOff>
          <xdr:row>25</xdr:row>
          <xdr:rowOff>142875</xdr:rowOff>
        </xdr:to>
        <xdr:sp macro="" textlink="">
          <xdr:nvSpPr>
            <xdr:cNvPr id="10246" name="Button 6" hidden="1">
              <a:extLst>
                <a:ext uri="{63B3BB69-23CF-44E3-9099-C40C66FF867C}">
                  <a14:compatExt spid="_x0000_s10246"/>
                </a:ext>
                <a:ext uri="{FF2B5EF4-FFF2-40B4-BE49-F238E27FC236}">
                  <a16:creationId xmlns:a16="http://schemas.microsoft.com/office/drawing/2014/main" id="{00000000-0008-0000-0100-000006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To DCF With Synergies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552450</xdr:colOff>
          <xdr:row>50</xdr:row>
          <xdr:rowOff>133350</xdr:rowOff>
        </xdr:from>
        <xdr:to>
          <xdr:col>10</xdr:col>
          <xdr:colOff>523875</xdr:colOff>
          <xdr:row>53</xdr:row>
          <xdr:rowOff>114300</xdr:rowOff>
        </xdr:to>
        <xdr:sp macro="" textlink="">
          <xdr:nvSpPr>
            <xdr:cNvPr id="10247" name="Button 7" hidden="1">
              <a:extLst>
                <a:ext uri="{63B3BB69-23CF-44E3-9099-C40C66FF867C}">
                  <a14:compatExt spid="_x0000_s10247"/>
                </a:ext>
                <a:ext uri="{FF2B5EF4-FFF2-40B4-BE49-F238E27FC236}">
                  <a16:creationId xmlns:a16="http://schemas.microsoft.com/office/drawing/2014/main" id="{00000000-0008-0000-0100-000007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To Revenue Build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466725</xdr:colOff>
          <xdr:row>59</xdr:row>
          <xdr:rowOff>57150</xdr:rowOff>
        </xdr:from>
        <xdr:to>
          <xdr:col>10</xdr:col>
          <xdr:colOff>438150</xdr:colOff>
          <xdr:row>62</xdr:row>
          <xdr:rowOff>38100</xdr:rowOff>
        </xdr:to>
        <xdr:sp macro="" textlink="">
          <xdr:nvSpPr>
            <xdr:cNvPr id="10248" name="Button 8" hidden="1">
              <a:extLst>
                <a:ext uri="{63B3BB69-23CF-44E3-9099-C40C66FF867C}">
                  <a14:compatExt spid="_x0000_s10248"/>
                </a:ext>
                <a:ext uri="{FF2B5EF4-FFF2-40B4-BE49-F238E27FC236}">
                  <a16:creationId xmlns:a16="http://schemas.microsoft.com/office/drawing/2014/main" id="{00000000-0008-0000-0100-000008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To Operating Model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371475</xdr:colOff>
          <xdr:row>67</xdr:row>
          <xdr:rowOff>38100</xdr:rowOff>
        </xdr:from>
        <xdr:to>
          <xdr:col>10</xdr:col>
          <xdr:colOff>342900</xdr:colOff>
          <xdr:row>70</xdr:row>
          <xdr:rowOff>19050</xdr:rowOff>
        </xdr:to>
        <xdr:sp macro="" textlink="">
          <xdr:nvSpPr>
            <xdr:cNvPr id="10249" name="Button 9" hidden="1">
              <a:extLst>
                <a:ext uri="{63B3BB69-23CF-44E3-9099-C40C66FF867C}">
                  <a14:compatExt spid="_x0000_s10249"/>
                </a:ext>
                <a:ext uri="{FF2B5EF4-FFF2-40B4-BE49-F238E27FC236}">
                  <a16:creationId xmlns:a16="http://schemas.microsoft.com/office/drawing/2014/main" id="{00000000-0008-0000-0100-000009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To DCF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381000</xdr:colOff>
          <xdr:row>74</xdr:row>
          <xdr:rowOff>57150</xdr:rowOff>
        </xdr:from>
        <xdr:to>
          <xdr:col>10</xdr:col>
          <xdr:colOff>352425</xdr:colOff>
          <xdr:row>77</xdr:row>
          <xdr:rowOff>38100</xdr:rowOff>
        </xdr:to>
        <xdr:sp macro="" textlink="">
          <xdr:nvSpPr>
            <xdr:cNvPr id="10250" name="Button 10" hidden="1">
              <a:extLst>
                <a:ext uri="{63B3BB69-23CF-44E3-9099-C40C66FF867C}">
                  <a14:compatExt spid="_x0000_s10250"/>
                </a:ext>
                <a:ext uri="{FF2B5EF4-FFF2-40B4-BE49-F238E27FC236}">
                  <a16:creationId xmlns:a16="http://schemas.microsoft.com/office/drawing/2014/main" id="{00000000-0008-0000-0100-00000A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To Net Working Capital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514350</xdr:colOff>
          <xdr:row>80</xdr:row>
          <xdr:rowOff>19050</xdr:rowOff>
        </xdr:from>
        <xdr:to>
          <xdr:col>10</xdr:col>
          <xdr:colOff>485775</xdr:colOff>
          <xdr:row>83</xdr:row>
          <xdr:rowOff>0</xdr:rowOff>
        </xdr:to>
        <xdr:sp macro="" textlink="">
          <xdr:nvSpPr>
            <xdr:cNvPr id="10251" name="Button 11" hidden="1">
              <a:extLst>
                <a:ext uri="{63B3BB69-23CF-44E3-9099-C40C66FF867C}">
                  <a14:compatExt spid="_x0000_s10251"/>
                </a:ext>
                <a:ext uri="{FF2B5EF4-FFF2-40B4-BE49-F238E27FC236}">
                  <a16:creationId xmlns:a16="http://schemas.microsoft.com/office/drawing/2014/main" id="{00000000-0008-0000-0100-00000B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To Depreciation Schedule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390525</xdr:colOff>
          <xdr:row>85</xdr:row>
          <xdr:rowOff>114300</xdr:rowOff>
        </xdr:from>
        <xdr:to>
          <xdr:col>10</xdr:col>
          <xdr:colOff>361950</xdr:colOff>
          <xdr:row>88</xdr:row>
          <xdr:rowOff>95250</xdr:rowOff>
        </xdr:to>
        <xdr:sp macro="" textlink="">
          <xdr:nvSpPr>
            <xdr:cNvPr id="10252" name="Button 12" hidden="1">
              <a:extLst>
                <a:ext uri="{63B3BB69-23CF-44E3-9099-C40C66FF867C}">
                  <a14:compatExt spid="_x0000_s10252"/>
                </a:ext>
                <a:ext uri="{FF2B5EF4-FFF2-40B4-BE49-F238E27FC236}">
                  <a16:creationId xmlns:a16="http://schemas.microsoft.com/office/drawing/2014/main" id="{00000000-0008-0000-0100-00000C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To Debt Schedule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542925</xdr:colOff>
          <xdr:row>10</xdr:row>
          <xdr:rowOff>9525</xdr:rowOff>
        </xdr:from>
        <xdr:to>
          <xdr:col>11</xdr:col>
          <xdr:colOff>514350</xdr:colOff>
          <xdr:row>11</xdr:row>
          <xdr:rowOff>180975</xdr:rowOff>
        </xdr:to>
        <xdr:sp macro="" textlink="">
          <xdr:nvSpPr>
            <xdr:cNvPr id="10253" name="Button 13" hidden="1">
              <a:extLst>
                <a:ext uri="{63B3BB69-23CF-44E3-9099-C40C66FF867C}">
                  <a14:compatExt spid="_x0000_s10253"/>
                </a:ext>
                <a:ext uri="{FF2B5EF4-FFF2-40B4-BE49-F238E27FC236}">
                  <a16:creationId xmlns:a16="http://schemas.microsoft.com/office/drawing/2014/main" id="{00000000-0008-0000-0100-00000D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To Dashboard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542925</xdr:colOff>
          <xdr:row>5</xdr:row>
          <xdr:rowOff>9525</xdr:rowOff>
        </xdr:from>
        <xdr:to>
          <xdr:col>11</xdr:col>
          <xdr:colOff>514350</xdr:colOff>
          <xdr:row>7</xdr:row>
          <xdr:rowOff>180975</xdr:rowOff>
        </xdr:to>
        <xdr:sp macro="" textlink="">
          <xdr:nvSpPr>
            <xdr:cNvPr id="10254" name="Button 14" hidden="1">
              <a:extLst>
                <a:ext uri="{63B3BB69-23CF-44E3-9099-C40C66FF867C}">
                  <a14:compatExt spid="_x0000_s10254"/>
                </a:ext>
                <a:ext uri="{FF2B5EF4-FFF2-40B4-BE49-F238E27FC236}">
                  <a16:creationId xmlns:a16="http://schemas.microsoft.com/office/drawing/2014/main" id="{00000000-0008-0000-0100-00000E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To Scenario Manager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180975</xdr:colOff>
      <xdr:row>12</xdr:row>
      <xdr:rowOff>4762</xdr:rowOff>
    </xdr:from>
    <xdr:to>
      <xdr:col>8</xdr:col>
      <xdr:colOff>485775</xdr:colOff>
      <xdr:row>26</xdr:row>
      <xdr:rowOff>80962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171450</xdr:colOff>
      <xdr:row>27</xdr:row>
      <xdr:rowOff>100012</xdr:rowOff>
    </xdr:from>
    <xdr:to>
      <xdr:col>8</xdr:col>
      <xdr:colOff>476250</xdr:colOff>
      <xdr:row>41</xdr:row>
      <xdr:rowOff>176212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371475</xdr:colOff>
      <xdr:row>27</xdr:row>
      <xdr:rowOff>128587</xdr:rowOff>
    </xdr:from>
    <xdr:to>
      <xdr:col>17</xdr:col>
      <xdr:colOff>66675</xdr:colOff>
      <xdr:row>42</xdr:row>
      <xdr:rowOff>14287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47625</xdr:colOff>
          <xdr:row>1</xdr:row>
          <xdr:rowOff>9525</xdr:rowOff>
        </xdr:from>
        <xdr:to>
          <xdr:col>13</xdr:col>
          <xdr:colOff>19050</xdr:colOff>
          <xdr:row>3</xdr:row>
          <xdr:rowOff>180975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Back To Hub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85725</xdr:colOff>
          <xdr:row>2</xdr:row>
          <xdr:rowOff>114300</xdr:rowOff>
        </xdr:from>
        <xdr:to>
          <xdr:col>11</xdr:col>
          <xdr:colOff>628650</xdr:colOff>
          <xdr:row>5</xdr:row>
          <xdr:rowOff>85725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4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Back To Hub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209550</xdr:colOff>
          <xdr:row>2</xdr:row>
          <xdr:rowOff>19050</xdr:rowOff>
        </xdr:from>
        <xdr:to>
          <xdr:col>10</xdr:col>
          <xdr:colOff>104775</xdr:colOff>
          <xdr:row>4</xdr:row>
          <xdr:rowOff>180975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5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Back To Hub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47625</xdr:colOff>
          <xdr:row>3</xdr:row>
          <xdr:rowOff>0</xdr:rowOff>
        </xdr:from>
        <xdr:to>
          <xdr:col>9</xdr:col>
          <xdr:colOff>19050</xdr:colOff>
          <xdr:row>5</xdr:row>
          <xdr:rowOff>171450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6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Back To Hub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30</xdr:col>
          <xdr:colOff>266700</xdr:colOff>
          <xdr:row>77</xdr:row>
          <xdr:rowOff>28575</xdr:rowOff>
        </xdr:from>
        <xdr:to>
          <xdr:col>32</xdr:col>
          <xdr:colOff>238125</xdr:colOff>
          <xdr:row>80</xdr:row>
          <xdr:rowOff>9525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06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Back To Hub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85725</xdr:colOff>
          <xdr:row>2</xdr:row>
          <xdr:rowOff>114300</xdr:rowOff>
        </xdr:from>
        <xdr:to>
          <xdr:col>10</xdr:col>
          <xdr:colOff>628650</xdr:colOff>
          <xdr:row>5</xdr:row>
          <xdr:rowOff>85725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8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Back To Hub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161925</xdr:colOff>
          <xdr:row>2</xdr:row>
          <xdr:rowOff>28575</xdr:rowOff>
        </xdr:from>
        <xdr:to>
          <xdr:col>13</xdr:col>
          <xdr:colOff>114300</xdr:colOff>
          <xdr:row>5</xdr:row>
          <xdr:rowOff>0</xdr:rowOff>
        </xdr:to>
        <xdr:sp macro="" textlink="">
          <xdr:nvSpPr>
            <xdr:cNvPr id="18433" name="Button 1" hidden="1">
              <a:extLst>
                <a:ext uri="{63B3BB69-23CF-44E3-9099-C40C66FF867C}">
                  <a14:compatExt spid="_x0000_s18433"/>
                </a:ext>
                <a:ext uri="{FF2B5EF4-FFF2-40B4-BE49-F238E27FC236}">
                  <a16:creationId xmlns:a16="http://schemas.microsoft.com/office/drawing/2014/main" id="{00000000-0008-0000-0A00-000001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Back To Hub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238125</xdr:colOff>
          <xdr:row>3</xdr:row>
          <xdr:rowOff>57150</xdr:rowOff>
        </xdr:from>
        <xdr:to>
          <xdr:col>1</xdr:col>
          <xdr:colOff>1428750</xdr:colOff>
          <xdr:row>6</xdr:row>
          <xdr:rowOff>38100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B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Back To Hub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495300</xdr:colOff>
          <xdr:row>1</xdr:row>
          <xdr:rowOff>28575</xdr:rowOff>
        </xdr:from>
        <xdr:to>
          <xdr:col>2</xdr:col>
          <xdr:colOff>1685925</xdr:colOff>
          <xdr:row>5</xdr:row>
          <xdr:rowOff>9525</xdr:rowOff>
        </xdr:to>
        <xdr:sp macro="" textlink="">
          <xdr:nvSpPr>
            <xdr:cNvPr id="20481" name="Button 1" hidden="1">
              <a:extLst>
                <a:ext uri="{63B3BB69-23CF-44E3-9099-C40C66FF867C}">
                  <a14:compatExt spid="_x0000_s20481"/>
                </a:ext>
                <a:ext uri="{FF2B5EF4-FFF2-40B4-BE49-F238E27FC236}">
                  <a16:creationId xmlns:a16="http://schemas.microsoft.com/office/drawing/2014/main" id="{00000000-0008-0000-0C00-000001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Back To Hub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390525</xdr:colOff>
          <xdr:row>0</xdr:row>
          <xdr:rowOff>123825</xdr:rowOff>
        </xdr:from>
        <xdr:to>
          <xdr:col>2</xdr:col>
          <xdr:colOff>1581150</xdr:colOff>
          <xdr:row>3</xdr:row>
          <xdr:rowOff>104775</xdr:rowOff>
        </xdr:to>
        <xdr:sp macro="" textlink="">
          <xdr:nvSpPr>
            <xdr:cNvPr id="21505" name="Button 1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0D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Back To Hub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504825</xdr:colOff>
          <xdr:row>1</xdr:row>
          <xdr:rowOff>57150</xdr:rowOff>
        </xdr:from>
        <xdr:to>
          <xdr:col>20</xdr:col>
          <xdr:colOff>514350</xdr:colOff>
          <xdr:row>4</xdr:row>
          <xdr:rowOff>38100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F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Back To Hub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276225</xdr:colOff>
          <xdr:row>1</xdr:row>
          <xdr:rowOff>19050</xdr:rowOff>
        </xdr:from>
        <xdr:to>
          <xdr:col>17</xdr:col>
          <xdr:colOff>323850</xdr:colOff>
          <xdr:row>3</xdr:row>
          <xdr:rowOff>190500</xdr:rowOff>
        </xdr:to>
        <xdr:sp macro="" textlink="">
          <xdr:nvSpPr>
            <xdr:cNvPr id="8344" name="Button 152" hidden="1">
              <a:extLst>
                <a:ext uri="{63B3BB69-23CF-44E3-9099-C40C66FF867C}">
                  <a14:compatExt spid="_x0000_s8344"/>
                </a:ext>
                <a:ext uri="{FF2B5EF4-FFF2-40B4-BE49-F238E27FC236}">
                  <a16:creationId xmlns:a16="http://schemas.microsoft.com/office/drawing/2014/main" id="{00000000-0008-0000-1000-00009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Back To Hub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419100</xdr:colOff>
          <xdr:row>1</xdr:row>
          <xdr:rowOff>28575</xdr:rowOff>
        </xdr:from>
        <xdr:to>
          <xdr:col>20</xdr:col>
          <xdr:colOff>390525</xdr:colOff>
          <xdr:row>4</xdr:row>
          <xdr:rowOff>9525</xdr:rowOff>
        </xdr:to>
        <xdr:sp macro="" textlink="">
          <xdr:nvSpPr>
            <xdr:cNvPr id="25601" name="Button 1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12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Back To Hub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400050</xdr:colOff>
          <xdr:row>1</xdr:row>
          <xdr:rowOff>85725</xdr:rowOff>
        </xdr:from>
        <xdr:to>
          <xdr:col>20</xdr:col>
          <xdr:colOff>371475</xdr:colOff>
          <xdr:row>4</xdr:row>
          <xdr:rowOff>66675</xdr:rowOff>
        </xdr:to>
        <xdr:sp macro="" textlink="">
          <xdr:nvSpPr>
            <xdr:cNvPr id="26625" name="Button 1" hidden="1">
              <a:extLst>
                <a:ext uri="{63B3BB69-23CF-44E3-9099-C40C66FF867C}">
                  <a14:compatExt spid="_x0000_s26625"/>
                </a:ext>
                <a:ext uri="{FF2B5EF4-FFF2-40B4-BE49-F238E27FC236}">
                  <a16:creationId xmlns:a16="http://schemas.microsoft.com/office/drawing/2014/main" id="{00000000-0008-0000-1400-00000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Back To Hub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171450</xdr:colOff>
          <xdr:row>15</xdr:row>
          <xdr:rowOff>142875</xdr:rowOff>
        </xdr:from>
        <xdr:to>
          <xdr:col>23</xdr:col>
          <xdr:colOff>1362075</xdr:colOff>
          <xdr:row>18</xdr:row>
          <xdr:rowOff>123825</xdr:rowOff>
        </xdr:to>
        <xdr:sp macro="" textlink="">
          <xdr:nvSpPr>
            <xdr:cNvPr id="27649" name="Button 1" hidden="1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1500-00000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Back To Hub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381000</xdr:colOff>
          <xdr:row>2</xdr:row>
          <xdr:rowOff>104775</xdr:rowOff>
        </xdr:from>
        <xdr:to>
          <xdr:col>17</xdr:col>
          <xdr:colOff>352425</xdr:colOff>
          <xdr:row>5</xdr:row>
          <xdr:rowOff>85725</xdr:rowOff>
        </xdr:to>
        <xdr:sp macro="" textlink="">
          <xdr:nvSpPr>
            <xdr:cNvPr id="36865" name="Button 1" hidden="1">
              <a:extLst>
                <a:ext uri="{63B3BB69-23CF-44E3-9099-C40C66FF867C}">
                  <a14:compatExt spid="_x0000_s36865"/>
                </a:ext>
                <a:ext uri="{FF2B5EF4-FFF2-40B4-BE49-F238E27FC236}">
                  <a16:creationId xmlns:a16="http://schemas.microsoft.com/office/drawing/2014/main" id="{00000000-0008-0000-1700-00000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Back To Hub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6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7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8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4" Type="http://schemas.openxmlformats.org/officeDocument/2006/relationships/ctrlProp" Target="../ctrlProps/ctrlProp19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20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1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2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4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5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6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Relationship Id="rId4" Type="http://schemas.openxmlformats.org/officeDocument/2006/relationships/comments" Target="../comments1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27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8.xml"/><Relationship Id="rId2" Type="http://schemas.openxmlformats.org/officeDocument/2006/relationships/vmlDrawing" Target="../drawings/vmlDrawing14.vml"/><Relationship Id="rId1" Type="http://schemas.openxmlformats.org/officeDocument/2006/relationships/drawing" Target="../drawings/drawing14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29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0.xml"/><Relationship Id="rId2" Type="http://schemas.openxmlformats.org/officeDocument/2006/relationships/vmlDrawing" Target="../drawings/vmlDrawing16.vml"/><Relationship Id="rId1" Type="http://schemas.openxmlformats.org/officeDocument/2006/relationships/drawing" Target="../drawings/drawing1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C441FA-57F9-4599-BBEF-BB75D0E7693B}">
  <sheetPr codeName="Sheet1">
    <tabColor rgb="FF0070C0"/>
  </sheetPr>
  <dimension ref="B2:K11"/>
  <sheetViews>
    <sheetView showGridLines="0" workbookViewId="0">
      <selection activeCell="G3" sqref="G3"/>
    </sheetView>
  </sheetViews>
  <sheetFormatPr defaultRowHeight="15" x14ac:dyDescent="0.25"/>
  <sheetData>
    <row r="2" spans="2:11" x14ac:dyDescent="0.25">
      <c r="B2" s="2"/>
      <c r="C2" s="2"/>
      <c r="D2" s="2"/>
      <c r="E2" s="2"/>
      <c r="F2" s="2"/>
      <c r="G2" s="2"/>
      <c r="H2" s="2"/>
      <c r="I2" s="2"/>
      <c r="J2" s="2"/>
      <c r="K2" s="2"/>
    </row>
    <row r="3" spans="2:11" x14ac:dyDescent="0.25">
      <c r="B3" s="2"/>
      <c r="C3" s="265" t="s">
        <v>347</v>
      </c>
      <c r="D3" s="2"/>
      <c r="E3" s="2"/>
      <c r="F3" s="2"/>
      <c r="G3" s="265"/>
      <c r="H3" s="2"/>
      <c r="I3" s="2"/>
      <c r="J3" s="2"/>
      <c r="K3" s="2"/>
    </row>
    <row r="4" spans="2:11" x14ac:dyDescent="0.25">
      <c r="B4" s="2"/>
      <c r="C4" s="2"/>
      <c r="D4" s="2"/>
      <c r="E4" s="2"/>
      <c r="F4" s="2"/>
      <c r="G4" s="2"/>
      <c r="H4" s="2"/>
      <c r="I4" s="2"/>
      <c r="J4" s="2"/>
      <c r="K4" s="2"/>
    </row>
    <row r="5" spans="2:11" x14ac:dyDescent="0.25">
      <c r="B5" s="2"/>
      <c r="C5" s="2" t="s">
        <v>0</v>
      </c>
      <c r="D5" s="2"/>
      <c r="E5" s="2"/>
      <c r="F5" s="2"/>
      <c r="G5" s="2"/>
      <c r="H5" s="2"/>
      <c r="I5" s="2"/>
      <c r="J5" s="2"/>
      <c r="K5" s="2"/>
    </row>
    <row r="6" spans="2:11" x14ac:dyDescent="0.25">
      <c r="B6" s="2"/>
      <c r="C6" s="2" t="s">
        <v>1</v>
      </c>
      <c r="D6" s="2"/>
      <c r="E6" s="2"/>
      <c r="F6" s="2"/>
      <c r="G6" s="2"/>
      <c r="H6" s="2"/>
      <c r="I6" s="2"/>
      <c r="J6" s="2"/>
      <c r="K6" s="2"/>
    </row>
    <row r="7" spans="2:11" x14ac:dyDescent="0.25">
      <c r="B7" s="2"/>
      <c r="C7" s="2"/>
      <c r="D7" s="2"/>
      <c r="E7" s="2"/>
      <c r="F7" s="2"/>
      <c r="G7" s="2"/>
      <c r="H7" s="2"/>
      <c r="I7" s="2"/>
      <c r="J7" s="2"/>
      <c r="K7" s="2"/>
    </row>
    <row r="8" spans="2:11" x14ac:dyDescent="0.25">
      <c r="B8" s="2"/>
      <c r="C8" s="2" t="s">
        <v>2</v>
      </c>
      <c r="D8" s="265" t="s">
        <v>350</v>
      </c>
      <c r="E8" s="265" t="s">
        <v>349</v>
      </c>
      <c r="F8" s="2"/>
      <c r="G8" s="2"/>
      <c r="H8" s="2"/>
      <c r="I8" s="2"/>
      <c r="J8" s="2"/>
      <c r="K8" s="2"/>
    </row>
    <row r="9" spans="2:11" x14ac:dyDescent="0.25">
      <c r="B9" s="2"/>
      <c r="C9" s="2"/>
      <c r="D9" s="2"/>
      <c r="E9" s="2"/>
      <c r="F9" s="2"/>
      <c r="G9" s="2"/>
      <c r="H9" s="2"/>
      <c r="I9" s="2"/>
      <c r="J9" s="2"/>
      <c r="K9" s="2"/>
    </row>
    <row r="10" spans="2:11" x14ac:dyDescent="0.25">
      <c r="B10" s="2"/>
      <c r="C10" s="2" t="s">
        <v>3</v>
      </c>
      <c r="D10" s="2"/>
      <c r="E10" s="2"/>
      <c r="F10" s="2"/>
      <c r="G10" s="2"/>
      <c r="H10" s="2"/>
      <c r="I10" s="2"/>
      <c r="J10" s="2"/>
      <c r="K10" s="2"/>
    </row>
    <row r="11" spans="2:11" x14ac:dyDescent="0.25">
      <c r="B11" s="2"/>
      <c r="C11" s="2"/>
      <c r="D11" s="2"/>
      <c r="E11" s="2"/>
      <c r="F11" s="2"/>
      <c r="G11" s="2"/>
      <c r="H11" s="2"/>
      <c r="I11" s="2"/>
      <c r="J11" s="2"/>
      <c r="K11" s="2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85DFE4-3DD0-4193-A181-2912E856178C}">
  <sheetPr codeName="Sheet2"/>
  <dimension ref="B2:V89"/>
  <sheetViews>
    <sheetView workbookViewId="0">
      <selection activeCell="D5" sqref="D5"/>
    </sheetView>
  </sheetViews>
  <sheetFormatPr defaultRowHeight="15" x14ac:dyDescent="0.25"/>
  <cols>
    <col min="2" max="2" width="20.140625" customWidth="1"/>
    <col min="3" max="3" width="8.85546875" customWidth="1"/>
    <col min="4" max="4" width="9.28515625" bestFit="1" customWidth="1"/>
    <col min="5" max="5" width="9.140625" customWidth="1"/>
    <col min="8" max="8" width="9.140625" customWidth="1"/>
    <col min="20" max="20" width="10.5703125" bestFit="1" customWidth="1"/>
    <col min="21" max="21" width="11.140625" bestFit="1" customWidth="1"/>
  </cols>
  <sheetData>
    <row r="2" spans="2:22" x14ac:dyDescent="0.25">
      <c r="B2" s="1"/>
      <c r="C2" s="2" t="s">
        <v>4</v>
      </c>
      <c r="D2" s="2"/>
      <c r="E2" s="1"/>
      <c r="F2" s="1"/>
      <c r="G2" s="1"/>
      <c r="H2" s="1"/>
      <c r="P2" s="1"/>
      <c r="Q2" s="2"/>
      <c r="R2" s="1"/>
      <c r="S2" s="146" t="s">
        <v>5</v>
      </c>
      <c r="T2" s="1"/>
      <c r="U2" s="1"/>
      <c r="V2" s="1"/>
    </row>
    <row r="4" spans="2:22" x14ac:dyDescent="0.25">
      <c r="B4" s="85" t="s">
        <v>368</v>
      </c>
      <c r="D4" s="293" t="s">
        <v>473</v>
      </c>
      <c r="J4" s="85" t="s">
        <v>382</v>
      </c>
      <c r="N4" s="122" t="s">
        <v>6</v>
      </c>
      <c r="R4" s="134" t="str">
        <f>IF(N4="Yes","Override Disabled","Override Enabled")</f>
        <v>Override Disabled</v>
      </c>
    </row>
    <row r="6" spans="2:22" x14ac:dyDescent="0.25">
      <c r="B6" t="s">
        <v>7</v>
      </c>
      <c r="D6" s="232" t="str" cm="1">
        <f t="array" ref="D6">_xll.BDP(D4, "DS002")</f>
        <v>CAESARS ENTERTAINMENT INC</v>
      </c>
      <c r="F6" t="s">
        <v>8</v>
      </c>
      <c r="H6" s="326">
        <f>_xll.BDP($D$4, "PX_ASK")</f>
        <v>36.869999999999997</v>
      </c>
      <c r="P6" t="s">
        <v>7</v>
      </c>
      <c r="R6" s="122"/>
      <c r="T6" t="s">
        <v>8</v>
      </c>
      <c r="V6" s="129"/>
    </row>
    <row r="7" spans="2:22" x14ac:dyDescent="0.25">
      <c r="B7" t="s">
        <v>9</v>
      </c>
      <c r="D7" s="232" t="str" cm="1">
        <f t="array" ref="D7">_xll.BDP(D4, "DS001")</f>
        <v>CZR</v>
      </c>
      <c r="F7" t="s">
        <v>10</v>
      </c>
      <c r="H7" s="356" cm="1">
        <f t="array" ref="H7">_xll.BDP(D4, "DS124")</f>
        <v>216.41549999999998</v>
      </c>
      <c r="P7" t="s">
        <v>9</v>
      </c>
      <c r="R7" s="122"/>
      <c r="T7" t="s">
        <v>10</v>
      </c>
      <c r="V7" s="131"/>
    </row>
    <row r="8" spans="2:22" x14ac:dyDescent="0.25">
      <c r="B8" t="s">
        <v>11</v>
      </c>
      <c r="D8" s="232" t="str" cm="1">
        <f t="array" ref="D8">_xll.BDP(D4, "DS004")</f>
        <v>USD</v>
      </c>
      <c r="F8" s="85"/>
      <c r="P8" t="s">
        <v>11</v>
      </c>
      <c r="R8" s="122"/>
      <c r="T8" t="s">
        <v>12</v>
      </c>
      <c r="V8" s="131"/>
    </row>
    <row r="10" spans="2:22" x14ac:dyDescent="0.25">
      <c r="B10" t="s">
        <v>13</v>
      </c>
      <c r="D10" s="122"/>
      <c r="F10" t="s">
        <v>14</v>
      </c>
      <c r="H10" s="292" cm="1">
        <f t="array" ref="H10">IFERROR(_xll.BDP(D4,"IM156"), 0)</f>
        <v>0.21</v>
      </c>
    </row>
    <row r="11" spans="2:22" x14ac:dyDescent="0.25">
      <c r="B11" s="85" t="str">
        <f ca="1">"FY End Date if not "&amp;TEXT(DATE(YEAR(TODAY())-1,12,31),"dd-mmm-yy")</f>
        <v>FY End Date if not 31-Dec-23</v>
      </c>
      <c r="D11" s="128"/>
      <c r="F11" s="85" t="s">
        <v>395</v>
      </c>
      <c r="H11" s="233" cm="1">
        <f t="array" ref="H11">H22-_xll.BDP("CTII5 GOVT","YAS_BOND_YLD")/100</f>
        <v>2.1877339999999999E-2</v>
      </c>
    </row>
    <row r="12" spans="2:22" x14ac:dyDescent="0.25">
      <c r="B12" s="121"/>
      <c r="H12" s="85"/>
      <c r="P12" s="1"/>
      <c r="Q12" s="1"/>
      <c r="R12" s="1"/>
      <c r="S12" s="146" t="s">
        <v>15</v>
      </c>
      <c r="T12" s="1"/>
      <c r="U12" s="1"/>
      <c r="V12" s="1"/>
    </row>
    <row r="13" spans="2:22" x14ac:dyDescent="0.25">
      <c r="B13" s="121" t="s">
        <v>16</v>
      </c>
      <c r="D13" s="232"/>
      <c r="F13" t="s">
        <v>17</v>
      </c>
      <c r="H13" s="122"/>
      <c r="N13" s="85"/>
    </row>
    <row r="14" spans="2:22" x14ac:dyDescent="0.25">
      <c r="B14" s="121" t="s">
        <v>18</v>
      </c>
      <c r="D14" s="232"/>
      <c r="F14" t="s">
        <v>19</v>
      </c>
      <c r="H14" s="122"/>
      <c r="P14" t="s">
        <v>20</v>
      </c>
      <c r="R14" s="137" t="str">
        <f>IF(D69="Ok", "Ready", "Not Ready")</f>
        <v>Ready</v>
      </c>
      <c r="T14" t="s">
        <v>21</v>
      </c>
      <c r="V14" s="137" t="str" cm="1">
        <f t="array" ref="V14">IF(OR(D75:D78&lt;&gt;"Ok", H76:H77&lt;&gt;"Ok"), "Not Ready", "Ready")</f>
        <v>Ready</v>
      </c>
    </row>
    <row r="15" spans="2:22" x14ac:dyDescent="0.25">
      <c r="B15" s="121" t="s">
        <v>22</v>
      </c>
      <c r="D15" s="232"/>
      <c r="F15" t="s">
        <v>23</v>
      </c>
      <c r="H15" s="122"/>
      <c r="P15" t="s">
        <v>24</v>
      </c>
      <c r="R15" s="137" t="str" cm="1">
        <f t="array" ref="R15">IF(OR(D51:D55&lt;&gt;"Ok",H51:H55&lt;&gt; "Ok"), "Not Ready", "Ready")</f>
        <v>Not Ready</v>
      </c>
      <c r="T15" t="s">
        <v>25</v>
      </c>
      <c r="V15" s="137" t="str">
        <f>IF(OR(D82&lt;&gt;"Ok", H82&lt;&gt;"Ok"), "Not Ready", "Ready")</f>
        <v>Ready</v>
      </c>
    </row>
    <row r="16" spans="2:22" x14ac:dyDescent="0.25">
      <c r="B16" s="121" t="s">
        <v>26</v>
      </c>
      <c r="D16" s="232"/>
      <c r="F16" t="s">
        <v>27</v>
      </c>
      <c r="H16" s="122"/>
      <c r="P16" t="s">
        <v>28</v>
      </c>
      <c r="R16" s="137" t="str" cm="1">
        <f t="array" ref="R16">IF(OR(D59&lt;&gt;"Ok", D63:D65&lt;&gt;"Ok", H59:H61&lt;&gt;"Ok", H63:H64&lt;&gt;"Ok"), "Not Ready", "Ready")</f>
        <v>Ready</v>
      </c>
      <c r="T16" t="s">
        <v>29</v>
      </c>
      <c r="V16" s="137" t="str" cm="1">
        <f t="array" ref="V16">IF(OR(H86:H89&lt;&gt;"Ok"), "Not Ready", "Ready")</f>
        <v>Ready</v>
      </c>
    </row>
    <row r="17" spans="2:22" x14ac:dyDescent="0.25">
      <c r="B17" s="121" t="s">
        <v>30</v>
      </c>
      <c r="D17" s="232"/>
      <c r="F17" t="s">
        <v>31</v>
      </c>
      <c r="H17" s="122"/>
      <c r="M17" s="85"/>
    </row>
    <row r="19" spans="2:22" x14ac:dyDescent="0.25">
      <c r="B19" s="1"/>
      <c r="C19" s="2" t="s">
        <v>32</v>
      </c>
      <c r="D19" s="2"/>
      <c r="E19" s="1"/>
      <c r="F19" s="1"/>
      <c r="G19" s="1"/>
      <c r="H19" s="1"/>
      <c r="P19" s="110"/>
      <c r="Q19" s="110"/>
      <c r="R19" s="110"/>
      <c r="S19" s="164" t="s">
        <v>295</v>
      </c>
      <c r="T19" s="110"/>
      <c r="U19" s="110"/>
      <c r="V19" s="110"/>
    </row>
    <row r="21" spans="2:22" x14ac:dyDescent="0.25">
      <c r="B21" t="s">
        <v>33</v>
      </c>
      <c r="D21" s="333" cm="1">
        <f t="array" ref="D21">IF(_xll.BDP(D4, "RR957")="#N/A Field Not Applicable", _xll.BDP(D4, "RR474"), _xll.BDP(D4, "RR957"))</f>
        <v>8.9217673412850083</v>
      </c>
      <c r="F21" t="s">
        <v>34</v>
      </c>
      <c r="H21" s="233">
        <f>0.1-H22</f>
        <v>5.8326450000000009E-2</v>
      </c>
      <c r="P21" s="5"/>
      <c r="Q21" s="5"/>
      <c r="R21" s="146" t="s">
        <v>244</v>
      </c>
      <c r="S21" s="5"/>
      <c r="T21" s="5"/>
      <c r="V21" s="146" t="s">
        <v>48</v>
      </c>
    </row>
    <row r="22" spans="2:22" x14ac:dyDescent="0.25">
      <c r="B22" t="s">
        <v>397</v>
      </c>
      <c r="D22" s="333" cm="1">
        <f t="array" ref="D22">IF(_xll.BDP(D4, "RR956")="#N/A Field Not Applicable", _xll.BDP(D4, "RR473"), _xll.BDP(D4, "RR956"))</f>
        <v>2.8403039035804198</v>
      </c>
      <c r="F22" t="s">
        <v>36</v>
      </c>
      <c r="H22" s="233" cm="1">
        <f t="array" ref="H22">_xll.BDP("CT5 GOVT","YAS_BOND_YLD")/100</f>
        <v>4.1673549999999997E-2</v>
      </c>
      <c r="V22" s="137" t="str">
        <f>IF(COUNTBLANK(T23:T25)=0, "OK", "Missing Values")</f>
        <v>Missing Values</v>
      </c>
    </row>
    <row r="23" spans="2:22" x14ac:dyDescent="0.25">
      <c r="B23" t="s">
        <v>35</v>
      </c>
      <c r="D23" s="291">
        <v>0.02</v>
      </c>
      <c r="H23" s="313"/>
      <c r="P23" t="s">
        <v>240</v>
      </c>
      <c r="T23" s="315"/>
    </row>
    <row r="24" spans="2:22" x14ac:dyDescent="0.25">
      <c r="B24" t="str">
        <f ca="1">"Terminal EBITDA Multiple unchanged from " &amp; YEAR(DCF!D10) &amp; " Fiscal Year?"</f>
        <v>Terminal EBITDA Multiple unchanged from 2023 Fiscal Year?</v>
      </c>
      <c r="H24" s="122" t="s">
        <v>6</v>
      </c>
      <c r="P24" t="s">
        <v>241</v>
      </c>
      <c r="T24" s="315"/>
    </row>
    <row r="25" spans="2:22" x14ac:dyDescent="0.25">
      <c r="P25" t="s">
        <v>242</v>
      </c>
      <c r="T25" s="315"/>
    </row>
    <row r="26" spans="2:22" x14ac:dyDescent="0.25">
      <c r="B26" s="1"/>
      <c r="C26" s="2" t="s">
        <v>37</v>
      </c>
      <c r="D26" s="1"/>
      <c r="E26" s="1"/>
      <c r="F26" s="16" t="s">
        <v>38</v>
      </c>
      <c r="G26" s="1"/>
      <c r="H26" s="1"/>
    </row>
    <row r="27" spans="2:22" x14ac:dyDescent="0.25">
      <c r="P27" s="1"/>
      <c r="Q27" s="1"/>
      <c r="R27" s="146" t="s">
        <v>243</v>
      </c>
      <c r="S27" s="1"/>
      <c r="T27" s="1"/>
    </row>
    <row r="28" spans="2:22" x14ac:dyDescent="0.25">
      <c r="B28" t="s">
        <v>39</v>
      </c>
      <c r="F28" s="141"/>
      <c r="G28" s="141"/>
      <c r="H28" s="142"/>
      <c r="V28" s="137" t="str">
        <f>IF(COUNTBLANK(T29:T36)=0, "OK", "Missing Values")</f>
        <v>Missing Values</v>
      </c>
    </row>
    <row r="29" spans="2:22" x14ac:dyDescent="0.25">
      <c r="P29" t="s">
        <v>252</v>
      </c>
      <c r="T29" s="315"/>
    </row>
    <row r="30" spans="2:22" x14ac:dyDescent="0.25">
      <c r="B30" t="s">
        <v>40</v>
      </c>
      <c r="D30" s="142"/>
      <c r="F30" t="s">
        <v>41</v>
      </c>
      <c r="H30" s="142"/>
      <c r="J30" s="134" t="str">
        <f>IF(OR(AND(OR(D30="Yes", H30="Yes"), H28&lt;&gt;"Yes"), AND(H28="Yes", D30="No", H30="No")), "The company has detailed debts if they show their bonds/loans with IR, Year Due, and principal", " " )</f>
        <v xml:space="preserve"> </v>
      </c>
      <c r="P30" t="s">
        <v>263</v>
      </c>
      <c r="T30" s="315"/>
    </row>
    <row r="31" spans="2:22" x14ac:dyDescent="0.25">
      <c r="P31" t="s">
        <v>246</v>
      </c>
      <c r="T31" s="357"/>
    </row>
    <row r="32" spans="2:22" x14ac:dyDescent="0.25">
      <c r="B32" s="1"/>
      <c r="C32" s="2" t="s">
        <v>42</v>
      </c>
      <c r="D32" s="1"/>
      <c r="E32" s="1"/>
      <c r="F32" s="1"/>
      <c r="G32" s="1"/>
      <c r="H32" s="1"/>
      <c r="P32" t="s">
        <v>247</v>
      </c>
      <c r="T32" s="315"/>
    </row>
    <row r="33" spans="2:22" x14ac:dyDescent="0.25">
      <c r="P33" t="s">
        <v>248</v>
      </c>
      <c r="T33" s="315"/>
    </row>
    <row r="34" spans="2:22" x14ac:dyDescent="0.25">
      <c r="B34" s="123"/>
      <c r="C34" s="124" t="s">
        <v>43</v>
      </c>
      <c r="D34" s="123"/>
      <c r="E34" s="123"/>
      <c r="F34" s="127" t="s">
        <v>44</v>
      </c>
      <c r="G34" s="127"/>
      <c r="H34" s="123"/>
      <c r="P34" t="s">
        <v>249</v>
      </c>
      <c r="T34" s="353"/>
    </row>
    <row r="35" spans="2:22" x14ac:dyDescent="0.25">
      <c r="P35" t="s">
        <v>250</v>
      </c>
      <c r="T35" s="358"/>
    </row>
    <row r="36" spans="2:22" x14ac:dyDescent="0.25">
      <c r="B36" t="str">
        <f>IF(ISBLANK(D13), "Division 1", D13)</f>
        <v>Division 1</v>
      </c>
      <c r="D36" s="315"/>
      <c r="F36" t="str">
        <f>IF(ISBLANK(H13), "Division 6", H13)</f>
        <v>Division 6</v>
      </c>
      <c r="H36" s="315"/>
      <c r="P36" t="s">
        <v>251</v>
      </c>
      <c r="T36" s="315"/>
    </row>
    <row r="37" spans="2:22" x14ac:dyDescent="0.25">
      <c r="B37" t="str">
        <f>IF(ISBLANK(D14), "Division 2", D14)</f>
        <v>Division 2</v>
      </c>
      <c r="D37" s="315"/>
      <c r="F37" t="str">
        <f>IF(ISBLANK(H14), "Division 7", H14)</f>
        <v>Division 7</v>
      </c>
      <c r="H37" s="315"/>
    </row>
    <row r="38" spans="2:22" x14ac:dyDescent="0.25">
      <c r="B38" t="str">
        <f>IF(ISBLANK(D15), "Division 3", D15)</f>
        <v>Division 3</v>
      </c>
      <c r="D38" s="315"/>
      <c r="F38" t="str">
        <f>IF(ISBLANK(H15), "Division 8", H15)</f>
        <v>Division 8</v>
      </c>
      <c r="H38" s="315"/>
      <c r="P38" s="1"/>
      <c r="Q38" s="1"/>
      <c r="R38" s="146" t="s">
        <v>344</v>
      </c>
      <c r="S38" s="1"/>
      <c r="T38" s="1"/>
    </row>
    <row r="39" spans="2:22" x14ac:dyDescent="0.25">
      <c r="B39" t="str">
        <f>IF(ISBLANK(D16), "Division 4", D16)</f>
        <v>Division 4</v>
      </c>
      <c r="D39" s="315"/>
      <c r="F39" t="str">
        <f>IF(ISBLANK(H16), "Division 9", H16)</f>
        <v>Division 9</v>
      </c>
      <c r="H39" s="315"/>
      <c r="V39" s="137" t="str">
        <f>IF(COUNTBLANK(T40)+COUNTBLANK(T42:T46)+COUNTBLANK(T48:T54)=0, "OK", "Missing Values")</f>
        <v>Missing Values</v>
      </c>
    </row>
    <row r="40" spans="2:22" x14ac:dyDescent="0.25">
      <c r="B40" t="str">
        <f>IF(ISBLANK(D17), "Division 5", D17)</f>
        <v>Division 5</v>
      </c>
      <c r="D40" s="315"/>
      <c r="F40" t="str">
        <f>IF(ISBLANK(H17), "Division 10", H17)</f>
        <v>Division 10</v>
      </c>
      <c r="H40" s="315"/>
      <c r="P40" t="s">
        <v>465</v>
      </c>
      <c r="T40" s="353" t="s">
        <v>466</v>
      </c>
    </row>
    <row r="42" spans="2:22" x14ac:dyDescent="0.25">
      <c r="B42" s="123"/>
      <c r="C42" s="124" t="s">
        <v>45</v>
      </c>
      <c r="D42" s="123"/>
      <c r="E42" s="123"/>
      <c r="F42" s="127" t="s">
        <v>44</v>
      </c>
      <c r="G42" s="123"/>
      <c r="H42" s="123"/>
      <c r="P42" t="s">
        <v>7</v>
      </c>
      <c r="T42" s="122" t="str" cm="1">
        <f t="array" ref="T42">_xll.BDP(T40, "DS002")</f>
        <v>GENERAL ELECTRIC CO</v>
      </c>
    </row>
    <row r="43" spans="2:22" x14ac:dyDescent="0.25">
      <c r="P43" t="s">
        <v>9</v>
      </c>
      <c r="T43" s="122" t="str" cm="1">
        <f t="array" ref="T43">_xll.BDP(T40, "DS001")</f>
        <v>GE</v>
      </c>
    </row>
    <row r="44" spans="2:22" x14ac:dyDescent="0.25">
      <c r="B44" t="s">
        <v>46</v>
      </c>
      <c r="D44" s="125"/>
      <c r="F44" t="s">
        <v>346</v>
      </c>
      <c r="H44" s="149"/>
      <c r="P44" t="s">
        <v>11</v>
      </c>
      <c r="T44" s="122" t="str" cm="1">
        <f t="array" ref="T44">_xll.BDP(T40, "DS004")</f>
        <v>USD</v>
      </c>
    </row>
    <row r="45" spans="2:22" x14ac:dyDescent="0.25">
      <c r="B45" t="s">
        <v>47</v>
      </c>
      <c r="D45" s="125"/>
      <c r="H45" s="149"/>
      <c r="P45" t="s">
        <v>8</v>
      </c>
      <c r="T45" s="223">
        <f>_xll.BDP($T$40, "PX_ASK")</f>
        <v>159.19</v>
      </c>
    </row>
    <row r="46" spans="2:22" x14ac:dyDescent="0.25">
      <c r="P46" t="s">
        <v>10</v>
      </c>
      <c r="T46" s="354" cm="1">
        <f t="array" ref="T46">_xll.BDP(T40, "DS124")</f>
        <v>1094.607</v>
      </c>
    </row>
    <row r="47" spans="2:22" x14ac:dyDescent="0.25">
      <c r="B47" s="1"/>
      <c r="C47" s="2" t="s">
        <v>48</v>
      </c>
      <c r="D47" s="1"/>
      <c r="E47" s="1"/>
      <c r="F47" s="1"/>
      <c r="G47" s="1"/>
      <c r="H47" s="1"/>
    </row>
    <row r="48" spans="2:22" x14ac:dyDescent="0.25">
      <c r="P48" t="str">
        <f>D6 &amp; " Take-Out Price"</f>
        <v>CAESARS ENTERTAINMENT INC Take-Out Price</v>
      </c>
      <c r="T48" s="353"/>
    </row>
    <row r="49" spans="2:20" x14ac:dyDescent="0.25">
      <c r="B49" s="123"/>
      <c r="C49" s="124" t="s">
        <v>49</v>
      </c>
      <c r="D49" s="123"/>
      <c r="E49" s="123"/>
      <c r="F49" s="127"/>
      <c r="G49" s="123"/>
      <c r="H49" s="123"/>
      <c r="P49" t="str">
        <f>"Tax Rate " &amp; T42</f>
        <v>Tax Rate GENERAL ELECTRIC CO</v>
      </c>
      <c r="T49" s="292">
        <f>H10</f>
        <v>0.21</v>
      </c>
    </row>
    <row r="50" spans="2:20" x14ac:dyDescent="0.25">
      <c r="P50" t="s">
        <v>298</v>
      </c>
      <c r="T50" s="353"/>
    </row>
    <row r="51" spans="2:20" x14ac:dyDescent="0.25">
      <c r="B51" t="str">
        <f>B36</f>
        <v>Division 1</v>
      </c>
      <c r="D51" s="137" t="str">
        <f>IF(B51="Division 1", IF(COUNTBLANK(Revenue_Build!D6:H6)=5,"OK", "Missing Name"), IF(COUNTBLANK(Revenue_Build!D6:H6)=0, "OK", "Missing Values"))</f>
        <v>Missing Name</v>
      </c>
      <c r="F51" t="str">
        <f t="shared" ref="F51" si="0">F36</f>
        <v>Division 6</v>
      </c>
      <c r="H51" s="137" t="str">
        <f>IF(F51="Division 6", IF(COUNTBLANK(Revenue_Build!D21:H21)=5,"OK", "Missing Name"), IF(COUNTBLANK(Revenue_Build!D21:H21)=0, "OK", "Missing Values"))</f>
        <v>Missing Name</v>
      </c>
      <c r="P51" t="str">
        <f ca="1">T42 &amp; " Cash on Hand in " &amp; DCF!I15</f>
        <v>GENERAL ELECTRIC CO Cash on Hand in 2023</v>
      </c>
      <c r="T51" s="355" cm="1">
        <f t="array" ref="T51">_xll.BDP(T40, "BS010")</f>
        <v>18447</v>
      </c>
    </row>
    <row r="52" spans="2:20" x14ac:dyDescent="0.25">
      <c r="B52" t="str">
        <f t="shared" ref="B52:F55" si="1">B37</f>
        <v>Division 2</v>
      </c>
      <c r="D52" s="137" t="str">
        <f>IF(B52="Division 2", IF(COUNTBLANK(Revenue_Build!D9:H9)=5,"OK", "Missing Name"), IF(COUNTBLANK(Revenue_Build!D9:H9)=0, "OK", "Missing Values"))</f>
        <v>Missing Name</v>
      </c>
      <c r="F52" t="str">
        <f t="shared" si="1"/>
        <v>Division 7</v>
      </c>
      <c r="H52" s="137" t="str">
        <f>IF(F52="Division 7", IF(COUNTBLANK(Revenue_Build!D24:H24)=5,"OK", "Missing Name"), IF(COUNTBLANK(Revenue_Build!D24:H24)=0, "OK", "Missing Values"))</f>
        <v>Missing Name</v>
      </c>
      <c r="P52" t="s">
        <v>345</v>
      </c>
      <c r="T52" s="333"/>
    </row>
    <row r="53" spans="2:20" x14ac:dyDescent="0.25">
      <c r="B53" t="str">
        <f t="shared" si="1"/>
        <v>Division 3</v>
      </c>
      <c r="D53" s="137" t="str">
        <f>IF(B53="Division 3", IF(COUNTBLANK(Revenue_Build!D12:H12)=5,"OK", "Missing Name"), IF(COUNTBLANK(Revenue_Build!D12:H12)=0, "OK", "Missing Values"))</f>
        <v>Missing Name</v>
      </c>
      <c r="F53" t="str">
        <f t="shared" si="1"/>
        <v>Division 8</v>
      </c>
      <c r="H53" s="137" t="str">
        <f>IF(F53="Division 8", IF(COUNTBLANK(Revenue_Build!D27:H27)=5,"OK", "Missing Name"), IF(COUNTBLANK(Revenue_Build!D27:H27)=0, "OK", "Missing Values"))</f>
        <v>Missing Name</v>
      </c>
      <c r="P53" t="str">
        <f ca="1">T42 &amp; " EBITDA in " &amp; DCF!J15</f>
        <v>GENERAL ELECTRIC CO EBITDA in 2024</v>
      </c>
      <c r="T53" s="355" cm="1">
        <f t="array" ref="T53">_xll.BDP(T40, "RR009")</f>
        <v>5242</v>
      </c>
    </row>
    <row r="54" spans="2:20" x14ac:dyDescent="0.25">
      <c r="B54" t="str">
        <f t="shared" si="1"/>
        <v>Division 4</v>
      </c>
      <c r="D54" s="137" t="str">
        <f>IF(B54="Division 4", IF(COUNTBLANK(Revenue_Build!D15:H15)=5,"OK", "Missing Name"), IF(COUNTBLANK(Revenue_Build!D15:H15)=0, "OK", "Missing Values"))</f>
        <v>Missing Name</v>
      </c>
      <c r="F54" t="str">
        <f t="shared" si="1"/>
        <v>Division 9</v>
      </c>
      <c r="H54" s="137" t="str">
        <f>IF(F54="Division 9", IF(COUNTBLANK(Revenue_Build!D30:H30)=5,"OK", "Missing Name"), IF(COUNTBLANK(Revenue_Build!D30:H30)=0, "OK", "Missing Values"))</f>
        <v>Missing Name</v>
      </c>
      <c r="P54" t="str">
        <f ca="1">T42 &amp; " Debt in " &amp; DCF!I15</f>
        <v>GENERAL ELECTRIC CO Debt in 2023</v>
      </c>
      <c r="T54" s="355" cm="1">
        <f t="array" ref="T54">_xll.BDP(T40,"RR251")</f>
        <v>22937</v>
      </c>
    </row>
    <row r="55" spans="2:20" x14ac:dyDescent="0.25">
      <c r="B55" t="str">
        <f t="shared" si="1"/>
        <v>Division 5</v>
      </c>
      <c r="D55" s="137" t="str">
        <f>IF(B55="Division 5", IF(COUNTBLANK(Revenue_Build!D18:H18)=5,"OK", "Missing Name"), IF(COUNTBLANK(Revenue_Build!D18:H18)=0, "OK", "Missing Values"))</f>
        <v>Missing Name</v>
      </c>
      <c r="F55" t="str">
        <f t="shared" si="1"/>
        <v>Division 10</v>
      </c>
      <c r="H55" s="137" t="str">
        <f>IF(F55="Division 10", IF(COUNTBLANK(Revenue_Build!D33:H33)=5,"OK", "Missing Name"), IF(COUNTBLANK(Revenue_Build!D33:H33)=0, "OK", "Missing Values"))</f>
        <v>Missing Name</v>
      </c>
    </row>
    <row r="57" spans="2:20" x14ac:dyDescent="0.25">
      <c r="B57" s="123"/>
      <c r="C57" s="124" t="s">
        <v>50</v>
      </c>
      <c r="D57" s="123"/>
      <c r="E57" s="123"/>
      <c r="F57" s="127"/>
      <c r="G57" s="123"/>
      <c r="H57" s="123"/>
    </row>
    <row r="59" spans="2:20" x14ac:dyDescent="0.25">
      <c r="B59" t="str">
        <f>Operating_Model!C48</f>
        <v>Cost of Products Sold</v>
      </c>
      <c r="D59" s="137" t="str">
        <f>IF(COUNTBLANK(Operating_Model!E48:I48)=0, "OK", "Missing Values")</f>
        <v>OK</v>
      </c>
      <c r="F59" t="str">
        <f>Operating_Model!C86</f>
        <v>SG&amp;A</v>
      </c>
      <c r="H59" s="137" t="str">
        <f>IF(COUNTBLANK(Operating_Model!E86:I86)=0, "OK", "Missing Values")</f>
        <v>OK</v>
      </c>
    </row>
    <row r="60" spans="2:20" x14ac:dyDescent="0.25">
      <c r="D60" s="137"/>
      <c r="F60" t="str">
        <f>Operating_Model!C89</f>
        <v>Research and Development</v>
      </c>
      <c r="H60" s="137" t="str">
        <f>IF(COUNTBLANK(Operating_Model!E89:I89)=0, "OK", "Missing Values")</f>
        <v>OK</v>
      </c>
    </row>
    <row r="61" spans="2:20" x14ac:dyDescent="0.25">
      <c r="D61" s="137"/>
      <c r="F61" t="str">
        <f>Operating_Model!C92</f>
        <v>Other Fixed Costs</v>
      </c>
      <c r="H61" s="137" t="str">
        <f>IF(COUNTBLANK(Operating_Model!E92:I92)=0, "OK", "Missing Values")</f>
        <v>OK</v>
      </c>
    </row>
    <row r="62" spans="2:20" x14ac:dyDescent="0.25">
      <c r="D62" s="137"/>
      <c r="H62" s="137"/>
    </row>
    <row r="63" spans="2:20" x14ac:dyDescent="0.25">
      <c r="B63" t="str">
        <f>Operating_Model!C130</f>
        <v>Other Non-Operating (Income) Loss</v>
      </c>
      <c r="D63" s="137" t="str">
        <f>IF(COUNTBLANK(Operating_Model!E130:I130)=0, "OK", "Missing Values")</f>
        <v>OK</v>
      </c>
      <c r="F63" t="str">
        <f>Operating_Model!C136</f>
        <v>Interest Expenses</v>
      </c>
      <c r="H63" s="137" t="str">
        <f>IF(COUNTBLANK(Operating_Model!E136:I136)=0, "OK", "Missing Values")</f>
        <v>OK</v>
      </c>
    </row>
    <row r="64" spans="2:20" x14ac:dyDescent="0.25">
      <c r="B64" t="str">
        <f>Operating_Model!C108</f>
        <v>Depreciation</v>
      </c>
      <c r="D64" s="137" t="str">
        <f>IF(COUNTBLANK(Operating_Model!E108:I108)=0, "OK", "Missing Values")</f>
        <v>OK</v>
      </c>
      <c r="F64" t="str">
        <f>Operating_Model!C150</f>
        <v>Tax Effect On Abnormal Items</v>
      </c>
      <c r="H64" s="137" t="str">
        <f>IF(COUNTBLANK(Operating_Model!E150:I150)=0, "OK", "Missing Values")</f>
        <v>OK</v>
      </c>
    </row>
    <row r="65" spans="2:8" x14ac:dyDescent="0.25">
      <c r="B65" t="str">
        <f>Operating_Model!C109</f>
        <v>Amortisation</v>
      </c>
      <c r="D65" s="137" t="str">
        <f>IF(COUNTBLANK(Operating_Model!E109:I109)=0, "OK", "Missing Values")</f>
        <v>OK</v>
      </c>
    </row>
    <row r="67" spans="2:8" x14ac:dyDescent="0.25">
      <c r="B67" s="123"/>
      <c r="C67" s="124" t="s">
        <v>51</v>
      </c>
      <c r="D67" s="123"/>
      <c r="E67" s="123"/>
      <c r="F67" s="123"/>
      <c r="G67" s="123"/>
      <c r="H67" s="123"/>
    </row>
    <row r="69" spans="2:8" x14ac:dyDescent="0.25">
      <c r="B69" t="s">
        <v>52</v>
      </c>
      <c r="D69" s="137" t="str">
        <f>IF(COUNTBLANK(DCF!E30:I30)=0, "OK", "Missing Values")</f>
        <v>OK</v>
      </c>
      <c r="H69" s="137"/>
    </row>
    <row r="71" spans="2:8" x14ac:dyDescent="0.25">
      <c r="B71" s="123"/>
      <c r="C71" s="124" t="s">
        <v>53</v>
      </c>
      <c r="D71" s="123"/>
      <c r="E71" s="123"/>
      <c r="F71" s="123"/>
      <c r="G71" s="123"/>
      <c r="H71" s="123"/>
    </row>
    <row r="73" spans="2:8" x14ac:dyDescent="0.25">
      <c r="B73" s="133"/>
      <c r="C73" s="138" t="s">
        <v>54</v>
      </c>
      <c r="D73" s="133"/>
      <c r="E73" s="133"/>
      <c r="F73" s="139" t="s">
        <v>55</v>
      </c>
      <c r="G73" s="133"/>
      <c r="H73" s="133"/>
    </row>
    <row r="75" spans="2:8" x14ac:dyDescent="0.25">
      <c r="B75" t="str">
        <f>Net_Working_Capital!C8</f>
        <v>Cash</v>
      </c>
      <c r="D75" s="137" t="str">
        <f>IF(COUNTBLANK(Net_Working_Capital!D8:I8)=0, "OK", "Missing Values")</f>
        <v>OK</v>
      </c>
    </row>
    <row r="76" spans="2:8" x14ac:dyDescent="0.25">
      <c r="B76" t="str">
        <f>Net_Working_Capital!C9</f>
        <v>Account Receivable</v>
      </c>
      <c r="D76" s="137" t="str">
        <f>IF(COUNTBLANK(Net_Working_Capital!D9:I9)=0, "OK", "Missing Values")</f>
        <v>OK</v>
      </c>
      <c r="F76" t="str">
        <f>Net_Working_Capital!C16</f>
        <v>Accounts Payable</v>
      </c>
      <c r="H76" s="137" t="str">
        <f>IF(COUNTBLANK(Net_Working_Capital!D16:I16)=0, "OK", "Missing Values")</f>
        <v>OK</v>
      </c>
    </row>
    <row r="77" spans="2:8" x14ac:dyDescent="0.25">
      <c r="B77" t="str">
        <f>Net_Working_Capital!C11</f>
        <v>Inventory</v>
      </c>
      <c r="D77" s="137" t="str">
        <f>IF(COUNTBLANK(Net_Working_Capital!D11:I11)=0, "OK", "Missing Values")</f>
        <v>OK</v>
      </c>
      <c r="F77" t="str">
        <f>Net_Working_Capital!C18</f>
        <v>Other Liabilities excluding debts</v>
      </c>
      <c r="H77" s="137" t="str">
        <f>IF(COUNTBLANK(Net_Working_Capital!D18:I18)=0, "OK", "Missing Values")</f>
        <v>OK</v>
      </c>
    </row>
    <row r="78" spans="2:8" x14ac:dyDescent="0.25">
      <c r="B78" t="str">
        <f>Net_Working_Capital!C13</f>
        <v>Other Current Assets</v>
      </c>
      <c r="D78" s="137" t="str">
        <f>IF(COUNTBLANK(Net_Working_Capital!D13:I13)=0, "OK", "Missing Values")</f>
        <v>OK</v>
      </c>
    </row>
    <row r="80" spans="2:8" x14ac:dyDescent="0.25">
      <c r="B80" s="133"/>
      <c r="C80" s="138" t="s">
        <v>56</v>
      </c>
      <c r="D80" s="133"/>
      <c r="E80" s="133"/>
      <c r="F80" s="139" t="s">
        <v>57</v>
      </c>
      <c r="G80" s="133"/>
      <c r="H80" s="133"/>
    </row>
    <row r="82" spans="2:8" x14ac:dyDescent="0.25">
      <c r="B82" t="str">
        <f>'D&amp;A+CAPEX'!C9</f>
        <v>PP&amp;E</v>
      </c>
      <c r="D82" s="137" t="str">
        <f>IF(COUNTBLANK('D&amp;A+CAPEX'!E9:I9)=0, "OK", "Missing Values")</f>
        <v>OK</v>
      </c>
      <c r="F82" t="str">
        <f>'D&amp;A+CAPEX'!C37</f>
        <v>Intangible assets</v>
      </c>
      <c r="H82" s="137" t="str">
        <f>IF(COUNTBLANK('D&amp;A+CAPEX'!E37:I37)=0, "OK", "Missing Values")</f>
        <v>OK</v>
      </c>
    </row>
    <row r="84" spans="2:8" x14ac:dyDescent="0.25">
      <c r="B84" s="133"/>
      <c r="C84" s="138" t="s">
        <v>58</v>
      </c>
      <c r="D84" s="133"/>
      <c r="E84" s="133"/>
      <c r="F84" s="139" t="s">
        <v>59</v>
      </c>
      <c r="G84" s="133"/>
      <c r="H84" s="133"/>
    </row>
    <row r="86" spans="2:8" x14ac:dyDescent="0.25">
      <c r="B86" t="s">
        <v>60</v>
      </c>
      <c r="D86" s="137" t="e">
        <f>Debt_Schedule!AD16</f>
        <v>#VALUE!</v>
      </c>
      <c r="F86" t="s">
        <v>61</v>
      </c>
      <c r="H86" s="137" t="str">
        <f>IF(OR(COUNTBLANK(Debt_Schedule!C4:C23)&lt;&gt;COUNTBLANK(Debt_Schedule!D4:D23), COUNTBLANK(Debt_Schedule!C4:C23)&lt;&gt;COUNTBLANK(Debt_Schedule!F4:F23), COUNTBLANK(Debt_Schedule!D4:D23)&lt;&gt;COUNTBLANK(Debt_Schedule!F4:F23)), "Missing Values", "Ok")</f>
        <v>Ok</v>
      </c>
    </row>
    <row r="87" spans="2:8" x14ac:dyDescent="0.25">
      <c r="B87" t="e">
        <f>"Use Backup? " &amp; IF(D86="Balanced", , "(Recommended)")</f>
        <v>#VALUE!</v>
      </c>
      <c r="D87" s="142"/>
      <c r="F87" t="s">
        <v>62</v>
      </c>
      <c r="H87" s="137" t="str">
        <f>IF(OR(COUNTBLANK(Debt_Schedule!O4:O23)&lt;&gt;COUNTBLANK(Debt_Schedule!P4:P23), COUNTBLANK(Debt_Schedule!O4:O23)&lt;&gt;COUNTBLANK(Debt_Schedule!R4:R23), COUNTBLANK(Debt_Schedule!P4:P23)&lt;&gt;COUNTBLANK(Debt_Schedule!R4:R23)), "Missing Values", "Ok")</f>
        <v>Ok</v>
      </c>
    </row>
    <row r="88" spans="2:8" x14ac:dyDescent="0.25">
      <c r="F88" t="s">
        <v>63</v>
      </c>
      <c r="H88" s="137" t="str">
        <f>IF(COUNTBLANK(Debt_Schedule!Z10:AD10)=0, "OK", "Missing Values")</f>
        <v>OK</v>
      </c>
    </row>
    <row r="89" spans="2:8" x14ac:dyDescent="0.25">
      <c r="F89" t="s">
        <v>64</v>
      </c>
      <c r="H89" s="137" t="str">
        <f>IF(COUNTBLANK(Debt_Schedule!Z12:AD12)=0, "OK", "Missing Values")</f>
        <v>OK</v>
      </c>
    </row>
  </sheetData>
  <phoneticPr fontId="30" type="noConversion"/>
  <conditionalFormatting sqref="D51:H89">
    <cfRule type="expression" dxfId="9" priority="20">
      <formula>ISNUMBER(SEARCH("OK", D51))</formula>
    </cfRule>
  </conditionalFormatting>
  <conditionalFormatting sqref="A59:XFD1048576 P19:V54 W19:XFD58 A18:XFD18 A13:C17 E13:XFD17 A8:G8 I8:XFD8 A1:XFD7 A9:XFD12 A19:O21 A24:O58 B23:O23 A22:A23 D22:O22">
    <cfRule type="expression" dxfId="8" priority="18">
      <formula>OR(ISNUMBER(SEARCH("Missing Values", A1)), ISNUMBER(SEARCH("Missing Name", A1)))</formula>
    </cfRule>
  </conditionalFormatting>
  <conditionalFormatting sqref="D86">
    <cfRule type="expression" dxfId="7" priority="12">
      <formula>SEARCH("Unbalanced", $D$86)</formula>
    </cfRule>
    <cfRule type="expression" dxfId="6" priority="14">
      <formula>SEARCH("Balanced", $D$86)</formula>
    </cfRule>
  </conditionalFormatting>
  <conditionalFormatting sqref="R14:V16">
    <cfRule type="expression" dxfId="5" priority="3">
      <formula>EXACT(R14, "Not Ready")</formula>
    </cfRule>
    <cfRule type="expression" dxfId="4" priority="5">
      <formula>EXACT(R14, "Ready")</formula>
    </cfRule>
  </conditionalFormatting>
  <conditionalFormatting sqref="D13:D17">
    <cfRule type="expression" dxfId="3" priority="2">
      <formula>ISNUMBER(SEARCH("OK", D13))</formula>
    </cfRule>
  </conditionalFormatting>
  <conditionalFormatting sqref="D13:D17">
    <cfRule type="expression" dxfId="2" priority="1">
      <formula>OR(ISNUMBER(SEARCH("Missing Values", D13)), ISNUMBER(SEARCH("Missing Name", D13)))</formula>
    </cfRule>
  </conditionalFormatting>
  <dataValidations count="2">
    <dataValidation type="list" allowBlank="1" showInputMessage="1" showErrorMessage="1" errorTitle="Invalid Input" error="Please only answer &quot;Yes&quot; or &quot;No&quot; to this question" sqref="H24 N4" xr:uid="{3512FD51-E462-4E24-8C36-2CFF599F2CBB}">
      <formula1>"Yes,No"</formula1>
    </dataValidation>
    <dataValidation type="list" allowBlank="1" showInputMessage="1" showErrorMessage="1" errorTitle="Invalid Input" error="Please only answer &quot;Yes&quot; or &quot;No&quot; to this question." sqref="H28 D30 H30 D87" xr:uid="{0D516820-8601-470D-A6BD-451D3FC63C84}">
      <formula1>"Yes,No"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ToDebtSchedule">
                <anchor moveWithCells="1" sizeWithCells="1">
                  <from>
                    <xdr:col>8</xdr:col>
                    <xdr:colOff>342900</xdr:colOff>
                    <xdr:row>26</xdr:row>
                    <xdr:rowOff>171450</xdr:rowOff>
                  </from>
                  <to>
                    <xdr:col>10</xdr:col>
                    <xdr:colOff>314325</xdr:colOff>
                    <xdr:row>29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5" name="Button 2">
              <controlPr defaultSize="0" print="0" autoFill="0" autoPict="0" macro="[0]!ToTimeSeries">
                <anchor moveWithCells="1" sizeWithCells="1">
                  <from>
                    <xdr:col>8</xdr:col>
                    <xdr:colOff>266700</xdr:colOff>
                    <xdr:row>35</xdr:row>
                    <xdr:rowOff>57150</xdr:rowOff>
                  </from>
                  <to>
                    <xdr:col>10</xdr:col>
                    <xdr:colOff>238125</xdr:colOff>
                    <xdr:row>38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3" r:id="rId6" name="Button 3">
              <controlPr defaultSize="0" print="0" autoFill="0" autoPict="0" macro="[0]!ToWACC">
                <anchor moveWithCells="1" sizeWithCells="1">
                  <from>
                    <xdr:col>10</xdr:col>
                    <xdr:colOff>342900</xdr:colOff>
                    <xdr:row>42</xdr:row>
                    <xdr:rowOff>85725</xdr:rowOff>
                  </from>
                  <to>
                    <xdr:col>12</xdr:col>
                    <xdr:colOff>314325</xdr:colOff>
                    <xdr:row>45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4" r:id="rId7" name="Button 4">
              <controlPr defaultSize="0" print="0" autoFill="0" autoPict="0" macro="[0]!ToLBO">
                <anchor moveWithCells="1" sizeWithCells="1">
                  <from>
                    <xdr:col>20</xdr:col>
                    <xdr:colOff>704850</xdr:colOff>
                    <xdr:row>29</xdr:row>
                    <xdr:rowOff>152400</xdr:rowOff>
                  </from>
                  <to>
                    <xdr:col>22</xdr:col>
                    <xdr:colOff>542925</xdr:colOff>
                    <xdr:row>32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5" r:id="rId8" name="Button 5">
              <controlPr defaultSize="0" print="0" autoFill="0" autoPict="0" macro="[0]!ToMerger">
                <anchor moveWithCells="1" sizeWithCells="1">
                  <from>
                    <xdr:col>20</xdr:col>
                    <xdr:colOff>476250</xdr:colOff>
                    <xdr:row>41</xdr:row>
                    <xdr:rowOff>152400</xdr:rowOff>
                  </from>
                  <to>
                    <xdr:col>22</xdr:col>
                    <xdr:colOff>314325</xdr:colOff>
                    <xdr:row>44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6" r:id="rId9" name="Button 6">
              <controlPr defaultSize="0" print="0" autoFill="0" autoPict="0" macro="[0]!ToDCFSynergies">
                <anchor moveWithCells="1" sizeWithCells="1">
                  <from>
                    <xdr:col>20</xdr:col>
                    <xdr:colOff>514350</xdr:colOff>
                    <xdr:row>22</xdr:row>
                    <xdr:rowOff>161925</xdr:rowOff>
                  </from>
                  <to>
                    <xdr:col>22</xdr:col>
                    <xdr:colOff>352425</xdr:colOff>
                    <xdr:row>25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7" r:id="rId10" name="Button 7">
              <controlPr defaultSize="0" print="0" autoFill="0" autoPict="0" macro="[0]!ToRevenueBuild">
                <anchor moveWithCells="1" sizeWithCells="1">
                  <from>
                    <xdr:col>8</xdr:col>
                    <xdr:colOff>552450</xdr:colOff>
                    <xdr:row>50</xdr:row>
                    <xdr:rowOff>133350</xdr:rowOff>
                  </from>
                  <to>
                    <xdr:col>10</xdr:col>
                    <xdr:colOff>523875</xdr:colOff>
                    <xdr:row>53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8" r:id="rId11" name="Button 8">
              <controlPr defaultSize="0" print="0" autoFill="0" autoPict="0" macro="[0]!ToOperatingModel">
                <anchor moveWithCells="1" sizeWithCells="1">
                  <from>
                    <xdr:col>8</xdr:col>
                    <xdr:colOff>466725</xdr:colOff>
                    <xdr:row>59</xdr:row>
                    <xdr:rowOff>57150</xdr:rowOff>
                  </from>
                  <to>
                    <xdr:col>10</xdr:col>
                    <xdr:colOff>438150</xdr:colOff>
                    <xdr:row>62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9" r:id="rId12" name="Button 9">
              <controlPr defaultSize="0" print="0" autoFill="0" autoPict="0" macro="[0]!ToDCF">
                <anchor moveWithCells="1" sizeWithCells="1">
                  <from>
                    <xdr:col>8</xdr:col>
                    <xdr:colOff>371475</xdr:colOff>
                    <xdr:row>67</xdr:row>
                    <xdr:rowOff>38100</xdr:rowOff>
                  </from>
                  <to>
                    <xdr:col>10</xdr:col>
                    <xdr:colOff>342900</xdr:colOff>
                    <xdr:row>70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0" r:id="rId13" name="Button 10">
              <controlPr defaultSize="0" print="0" autoFill="0" autoPict="0" macro="[0]!ToNWC">
                <anchor moveWithCells="1" sizeWithCells="1">
                  <from>
                    <xdr:col>8</xdr:col>
                    <xdr:colOff>381000</xdr:colOff>
                    <xdr:row>74</xdr:row>
                    <xdr:rowOff>57150</xdr:rowOff>
                  </from>
                  <to>
                    <xdr:col>10</xdr:col>
                    <xdr:colOff>352425</xdr:colOff>
                    <xdr:row>77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1" r:id="rId14" name="Button 11">
              <controlPr defaultSize="0" print="0" autoFill="0" autoPict="0" macro="[0]!ToDACAPEX">
                <anchor moveWithCells="1" sizeWithCells="1">
                  <from>
                    <xdr:col>8</xdr:col>
                    <xdr:colOff>514350</xdr:colOff>
                    <xdr:row>80</xdr:row>
                    <xdr:rowOff>19050</xdr:rowOff>
                  </from>
                  <to>
                    <xdr:col>10</xdr:col>
                    <xdr:colOff>485775</xdr:colOff>
                    <xdr:row>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2" r:id="rId15" name="Button 12">
              <controlPr defaultSize="0" print="0" autoFill="0" autoPict="0" macro="[0]!ToDebtSchedule">
                <anchor moveWithCells="1" sizeWithCells="1">
                  <from>
                    <xdr:col>8</xdr:col>
                    <xdr:colOff>390525</xdr:colOff>
                    <xdr:row>85</xdr:row>
                    <xdr:rowOff>114300</xdr:rowOff>
                  </from>
                  <to>
                    <xdr:col>10</xdr:col>
                    <xdr:colOff>361950</xdr:colOff>
                    <xdr:row>88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3" r:id="rId16" name="Button 13">
              <controlPr defaultSize="0" print="0" autoFill="0" autoPict="0" macro="[0]!ToDashboard">
                <anchor moveWithCells="1" sizeWithCells="1">
                  <from>
                    <xdr:col>9</xdr:col>
                    <xdr:colOff>542925</xdr:colOff>
                    <xdr:row>10</xdr:row>
                    <xdr:rowOff>9525</xdr:rowOff>
                  </from>
                  <to>
                    <xdr:col>11</xdr:col>
                    <xdr:colOff>514350</xdr:colOff>
                    <xdr:row>11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4" r:id="rId17" name="Button 14">
              <controlPr defaultSize="0" print="0" autoFill="0" autoPict="0" macro="[0]!ToSCManager">
                <anchor moveWithCells="1" sizeWithCells="1">
                  <from>
                    <xdr:col>9</xdr:col>
                    <xdr:colOff>542925</xdr:colOff>
                    <xdr:row>5</xdr:row>
                    <xdr:rowOff>9525</xdr:rowOff>
                  </from>
                  <to>
                    <xdr:col>11</xdr:col>
                    <xdr:colOff>514350</xdr:colOff>
                    <xdr:row>7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6CA004-9846-4030-8CAB-6FA255D2AEE0}">
  <sheetPr codeName="Sheet15"/>
  <dimension ref="B2:O9"/>
  <sheetViews>
    <sheetView topLeftCell="A16" workbookViewId="0">
      <selection activeCell="M19" sqref="M19"/>
    </sheetView>
  </sheetViews>
  <sheetFormatPr defaultRowHeight="15" x14ac:dyDescent="0.25"/>
  <sheetData>
    <row r="2" spans="2:15" x14ac:dyDescent="0.25">
      <c r="B2" s="2" t="str">
        <f>DCF!C2</f>
        <v>CAESARS ENTERTAINMENT INC</v>
      </c>
      <c r="C2" s="1"/>
      <c r="D2" s="1"/>
      <c r="E2" s="1"/>
      <c r="F2" s="1"/>
      <c r="G2" s="1"/>
      <c r="H2" s="1"/>
      <c r="I2" s="1"/>
      <c r="J2" s="1"/>
    </row>
    <row r="3" spans="2:15" x14ac:dyDescent="0.25">
      <c r="B3" s="2" t="s">
        <v>65</v>
      </c>
      <c r="C3" s="1"/>
      <c r="D3" s="1"/>
      <c r="E3" s="1"/>
      <c r="F3" s="143" t="s">
        <v>66</v>
      </c>
      <c r="G3" s="1"/>
      <c r="H3" s="1"/>
      <c r="I3" s="144" t="s">
        <v>67</v>
      </c>
      <c r="J3" s="1"/>
    </row>
    <row r="4" spans="2:15" x14ac:dyDescent="0.25">
      <c r="B4" s="2" t="str" cm="1">
        <f t="array" ref="B4">IF(OR(Hub!R14:R16&lt;&gt;"Ok", Hub!V14:V16&lt;&gt;"Ok"), "Model Not Complete", "Model Completed")</f>
        <v>Model Not Complete</v>
      </c>
      <c r="C4" s="1"/>
      <c r="D4" s="1"/>
      <c r="E4" s="1"/>
      <c r="F4" s="1"/>
      <c r="G4" s="1"/>
      <c r="H4" s="1"/>
      <c r="I4" s="1"/>
      <c r="J4" s="1"/>
    </row>
    <row r="6" spans="2:15" x14ac:dyDescent="0.25">
      <c r="B6" t="s">
        <v>46</v>
      </c>
      <c r="E6" s="151"/>
      <c r="G6" t="s">
        <v>36</v>
      </c>
      <c r="J6" s="151"/>
      <c r="L6" t="s">
        <v>240</v>
      </c>
      <c r="O6" s="154"/>
    </row>
    <row r="7" spans="2:15" x14ac:dyDescent="0.25">
      <c r="B7" t="s">
        <v>47</v>
      </c>
      <c r="E7" s="151"/>
      <c r="G7" t="s">
        <v>68</v>
      </c>
      <c r="J7" s="151"/>
      <c r="L7" t="s">
        <v>241</v>
      </c>
      <c r="O7" s="154"/>
    </row>
    <row r="8" spans="2:15" x14ac:dyDescent="0.25">
      <c r="B8" t="s">
        <v>69</v>
      </c>
      <c r="E8" s="151"/>
      <c r="G8" t="s">
        <v>70</v>
      </c>
      <c r="J8" s="150"/>
      <c r="L8" t="s">
        <v>242</v>
      </c>
      <c r="O8" s="154"/>
    </row>
    <row r="9" spans="2:15" x14ac:dyDescent="0.25">
      <c r="B9" t="s">
        <v>71</v>
      </c>
      <c r="E9" s="152"/>
      <c r="G9" t="s">
        <v>72</v>
      </c>
      <c r="J9" s="153"/>
    </row>
  </sheetData>
  <dataValidations count="1">
    <dataValidation type="list" allowBlank="1" showInputMessage="1" showErrorMessage="1" errorTitle="Invalid Input" error="Please input only &quot;Yes&quot; or &quot;No&quot; to answer this question." sqref="I3" xr:uid="{0B27793B-7477-4C86-A1B2-D46832AC5310}">
      <formula1>"Yes,No"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BacktoHub">
                <anchor moveWithCells="1" sizeWithCells="1">
                  <from>
                    <xdr:col>11</xdr:col>
                    <xdr:colOff>47625</xdr:colOff>
                    <xdr:row>1</xdr:row>
                    <xdr:rowOff>9525</xdr:rowOff>
                  </from>
                  <to>
                    <xdr:col>13</xdr:col>
                    <xdr:colOff>19050</xdr:colOff>
                    <xdr:row>3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AA550A-2A71-4738-B4EC-C675F0625ABA}">
  <sheetPr codeName="Sheet14">
    <tabColor rgb="FF0070C0"/>
  </sheetPr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FCD410-ED46-4A8A-B4E4-59752DF6643A}">
  <sheetPr codeName="Sheet3"/>
  <dimension ref="A2:AA74"/>
  <sheetViews>
    <sheetView tabSelected="1" topLeftCell="E29" zoomScaleNormal="100" workbookViewId="0">
      <selection activeCell="X63" sqref="X63"/>
    </sheetView>
  </sheetViews>
  <sheetFormatPr defaultRowHeight="15" x14ac:dyDescent="0.25"/>
  <cols>
    <col min="3" max="3" width="32.42578125" customWidth="1"/>
    <col min="4" max="4" width="14.42578125" customWidth="1"/>
    <col min="5" max="8" width="11.5703125" bestFit="1" customWidth="1"/>
    <col min="9" max="9" width="11.5703125" customWidth="1"/>
    <col min="10" max="19" width="11.5703125" bestFit="1" customWidth="1"/>
    <col min="23" max="27" width="12.42578125" bestFit="1" customWidth="1"/>
  </cols>
  <sheetData>
    <row r="2" spans="3:19" ht="15.75" thickBot="1" x14ac:dyDescent="0.3">
      <c r="C2" s="6" t="str">
        <f>IF(Hub!N4="No", Hub!R6, Hub!D6)</f>
        <v>CAESARS ENTERTAINMENT INC</v>
      </c>
      <c r="D2" s="6" t="s">
        <v>73</v>
      </c>
      <c r="E2" s="19"/>
      <c r="F2" s="19"/>
      <c r="G2" s="19"/>
      <c r="H2" s="19"/>
      <c r="I2" s="19"/>
      <c r="J2" s="19"/>
      <c r="K2" s="19"/>
      <c r="L2" s="19"/>
      <c r="M2" s="19"/>
      <c r="N2" s="19"/>
      <c r="O2" s="19"/>
      <c r="P2" s="19"/>
      <c r="Q2" s="19"/>
      <c r="R2" s="19"/>
      <c r="S2" s="19"/>
    </row>
    <row r="3" spans="3:19" ht="15.75" thickTop="1" x14ac:dyDescent="0.25">
      <c r="C3" t="str">
        <f>"All Figures in " &amp; Hub!D8 &amp;" Millions, expect for per share data"</f>
        <v>All Figures in USD Millions, expect for per share data</v>
      </c>
    </row>
    <row r="4" spans="3:19" x14ac:dyDescent="0.25">
      <c r="C4" t="s">
        <v>74</v>
      </c>
      <c r="H4" s="117" t="str">
        <f>IF(Dashboard!I3="Yes", "Dashboard Master Override Enabled", "Dashboard Master Override Disabled")</f>
        <v>Dashboard Master Override Disabled</v>
      </c>
    </row>
    <row r="7" spans="3:19" x14ac:dyDescent="0.25">
      <c r="C7" s="2" t="s">
        <v>75</v>
      </c>
      <c r="D7" s="2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</row>
    <row r="9" spans="3:19" x14ac:dyDescent="0.25">
      <c r="C9" t="s">
        <v>76</v>
      </c>
      <c r="D9" s="20">
        <f ca="1">IF(ISBLANK(Hub!D10), TODAY(), Hub!D10)</f>
        <v>45493</v>
      </c>
      <c r="F9" t="s">
        <v>77</v>
      </c>
      <c r="I9" s="260">
        <f>I23</f>
        <v>9031</v>
      </c>
      <c r="K9" t="s">
        <v>35</v>
      </c>
      <c r="N9" s="119">
        <f>IF(Dashboard!I3="Yes", Dashboard!E8, Hub!D23)</f>
        <v>0.02</v>
      </c>
    </row>
    <row r="10" spans="3:19" ht="15" customHeight="1" x14ac:dyDescent="0.25">
      <c r="C10" t="s">
        <v>78</v>
      </c>
      <c r="D10" s="20">
        <f ca="1">IF(ISBLANK(Hub!D11), DATE(YEAR(D9)-1,12,31),Hub!D11)</f>
        <v>45291</v>
      </c>
      <c r="F10" t="str">
        <f>INDEX(Hub!B21:B22,MATCH(I10,Hub!D21:D22,0))</f>
        <v>Terminal EBITDA Multiple</v>
      </c>
      <c r="I10" s="334">
        <f>IF(Dashboard!I3="Yes", Dashboard!E9, IF(Hub!D21="#N/A N/A", Hub!D22, Hub!D21))</f>
        <v>8.9217673412850083</v>
      </c>
      <c r="K10" t="s">
        <v>10</v>
      </c>
      <c r="N10" s="260">
        <f>IF(Dashboard!I3="YES", Dashboard!J8, IF(Hub!N4="No", Hub!V7, Hub!H7))</f>
        <v>216.41549999999998</v>
      </c>
    </row>
    <row r="11" spans="3:19" ht="15" customHeight="1" x14ac:dyDescent="0.25">
      <c r="C11" t="s">
        <v>14</v>
      </c>
      <c r="D11" s="104">
        <f>Hub!H10</f>
        <v>0.21</v>
      </c>
      <c r="F11" t="s">
        <v>46</v>
      </c>
      <c r="I11" s="298">
        <f>IF(Dashboard!I3="Yes", Dashboard!E6, IF(ISBLANK(Hub!D44), WACC_Calculator!D4, Hub!D44))</f>
        <v>8.0848911765504614E-2</v>
      </c>
      <c r="K11" t="s">
        <v>79</v>
      </c>
      <c r="N11" s="135">
        <f>IF(Hub!N4="No", Hub!V6, Hub!H6)</f>
        <v>36.869999999999997</v>
      </c>
    </row>
    <row r="12" spans="3:19" x14ac:dyDescent="0.25">
      <c r="C12" s="85" t="s">
        <v>395</v>
      </c>
      <c r="D12" s="324">
        <f>Hub!H11</f>
        <v>2.1877339999999999E-2</v>
      </c>
      <c r="F12" t="s">
        <v>47</v>
      </c>
      <c r="I12" s="119">
        <f>IF(Dashboard!I3="Yes", Dashboard!E7, IF(ISBLANK(Hub!D45), IF(ISBLANK(Hub!D44), WACC_Calculator!D4, Hub!D44), Hub!D45))</f>
        <v>8.0848911765504614E-2</v>
      </c>
      <c r="K12" t="s">
        <v>36</v>
      </c>
      <c r="N12" s="119">
        <f>IF(Dashboard!I3="YES", Dashboard!J6, Hub!H22)</f>
        <v>4.1673549999999997E-2</v>
      </c>
    </row>
    <row r="14" spans="3:19" x14ac:dyDescent="0.25">
      <c r="E14" s="5"/>
      <c r="F14" s="1"/>
      <c r="G14" s="146" t="s">
        <v>80</v>
      </c>
      <c r="H14" s="1"/>
      <c r="I14" s="1"/>
      <c r="J14" s="4"/>
      <c r="K14" s="3"/>
      <c r="L14" s="3"/>
      <c r="M14" s="3"/>
      <c r="N14" s="341" t="s">
        <v>81</v>
      </c>
      <c r="O14" s="3"/>
      <c r="P14" s="3"/>
      <c r="Q14" s="3"/>
      <c r="R14" s="3"/>
      <c r="S14" s="3"/>
    </row>
    <row r="15" spans="3:19" x14ac:dyDescent="0.25">
      <c r="E15" s="7">
        <f ca="1">YEAR(E16)</f>
        <v>2019</v>
      </c>
      <c r="F15" s="7">
        <f t="shared" ref="F15:I15" ca="1" si="0">YEAR(F16)</f>
        <v>2020</v>
      </c>
      <c r="G15" s="7">
        <f t="shared" ca="1" si="0"/>
        <v>2021</v>
      </c>
      <c r="H15" s="7">
        <f t="shared" ca="1" si="0"/>
        <v>2022</v>
      </c>
      <c r="I15" s="7">
        <f t="shared" ca="1" si="0"/>
        <v>2023</v>
      </c>
      <c r="J15" s="8">
        <f ca="1">YEAR(J16)</f>
        <v>2024</v>
      </c>
      <c r="K15" s="8">
        <f t="shared" ref="K15:S15" ca="1" si="1">YEAR(K16)</f>
        <v>2025</v>
      </c>
      <c r="L15" s="8">
        <f t="shared" ca="1" si="1"/>
        <v>2026</v>
      </c>
      <c r="M15" s="8">
        <f t="shared" ca="1" si="1"/>
        <v>2027</v>
      </c>
      <c r="N15" s="8">
        <f t="shared" ca="1" si="1"/>
        <v>2028</v>
      </c>
      <c r="O15" s="8">
        <f t="shared" ca="1" si="1"/>
        <v>2029</v>
      </c>
      <c r="P15" s="8">
        <f t="shared" ca="1" si="1"/>
        <v>2030</v>
      </c>
      <c r="Q15" s="8">
        <f t="shared" ca="1" si="1"/>
        <v>2031</v>
      </c>
      <c r="R15" s="8">
        <f t="shared" ca="1" si="1"/>
        <v>2032</v>
      </c>
      <c r="S15" s="8">
        <f t="shared" ca="1" si="1"/>
        <v>2033</v>
      </c>
    </row>
    <row r="16" spans="3:19" x14ac:dyDescent="0.25">
      <c r="E16" s="9">
        <f t="shared" ref="E16:G16" ca="1" si="2">EOMONTH(F16,-12)</f>
        <v>43830</v>
      </c>
      <c r="F16" s="9">
        <f t="shared" ca="1" si="2"/>
        <v>44196</v>
      </c>
      <c r="G16" s="9">
        <f t="shared" ca="1" si="2"/>
        <v>44561</v>
      </c>
      <c r="H16" s="9">
        <f ca="1">EOMONTH(I16,-12)</f>
        <v>44926</v>
      </c>
      <c r="I16" s="9">
        <f ca="1">D10</f>
        <v>45291</v>
      </c>
      <c r="J16" s="9">
        <f ca="1">EOMONTH(I16,12)</f>
        <v>45657</v>
      </c>
      <c r="K16" s="9">
        <f t="shared" ref="K16:N16" ca="1" si="3">EOMONTH(J16,12)</f>
        <v>46022</v>
      </c>
      <c r="L16" s="9">
        <f t="shared" ca="1" si="3"/>
        <v>46387</v>
      </c>
      <c r="M16" s="9">
        <f t="shared" ca="1" si="3"/>
        <v>46752</v>
      </c>
      <c r="N16" s="9">
        <f t="shared" ca="1" si="3"/>
        <v>47118</v>
      </c>
      <c r="O16" s="9">
        <f t="shared" ref="O16" ca="1" si="4">EOMONTH(N16,12)</f>
        <v>47483</v>
      </c>
      <c r="P16" s="9">
        <f t="shared" ref="P16" ca="1" si="5">EOMONTH(O16,12)</f>
        <v>47848</v>
      </c>
      <c r="Q16" s="9">
        <f t="shared" ref="Q16" ca="1" si="6">EOMONTH(P16,12)</f>
        <v>48213</v>
      </c>
      <c r="R16" s="9">
        <f t="shared" ref="R16" ca="1" si="7">EOMONTH(Q16,12)</f>
        <v>48579</v>
      </c>
      <c r="S16" s="9">
        <f t="shared" ref="S16" ca="1" si="8">EOMONTH(R16,12)</f>
        <v>48944</v>
      </c>
    </row>
    <row r="17" spans="1:19" x14ac:dyDescent="0.25">
      <c r="E17" s="267" t="s">
        <v>357</v>
      </c>
      <c r="F17" s="267" t="s">
        <v>356</v>
      </c>
      <c r="G17" s="267" t="s">
        <v>355</v>
      </c>
      <c r="H17" s="267" t="s">
        <v>353</v>
      </c>
      <c r="I17" s="267" t="s">
        <v>354</v>
      </c>
      <c r="J17" s="9"/>
      <c r="K17" s="9"/>
      <c r="L17" s="9"/>
      <c r="M17" s="9"/>
      <c r="N17" s="9"/>
      <c r="O17" s="9"/>
      <c r="P17" s="9"/>
      <c r="Q17" s="9"/>
      <c r="R17" s="9"/>
      <c r="S17" s="9"/>
    </row>
    <row r="18" spans="1:19" x14ac:dyDescent="0.25">
      <c r="A18" s="85"/>
      <c r="B18" s="85"/>
      <c r="C18" s="2" t="s">
        <v>82</v>
      </c>
      <c r="D18" s="2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</row>
    <row r="20" spans="1:19" x14ac:dyDescent="0.25">
      <c r="C20" s="10" t="s">
        <v>83</v>
      </c>
      <c r="E20" s="261">
        <f>Revenue_Build!D36</f>
        <v>2528</v>
      </c>
      <c r="F20" s="261">
        <f>Revenue_Build!E36</f>
        <v>3628</v>
      </c>
      <c r="G20" s="261">
        <f>Revenue_Build!F36</f>
        <v>9570</v>
      </c>
      <c r="H20" s="261">
        <f>Revenue_Build!G36</f>
        <v>10821</v>
      </c>
      <c r="I20" s="261">
        <f>Revenue_Build!H36</f>
        <v>11528</v>
      </c>
      <c r="J20" s="261">
        <f>Revenue_Build!I36</f>
        <v>15902.995400604828</v>
      </c>
      <c r="K20" s="261">
        <f>Revenue_Build!J36</f>
        <v>22095.14461812477</v>
      </c>
      <c r="L20" s="261">
        <f>Revenue_Build!K36</f>
        <v>30929.375644418011</v>
      </c>
      <c r="M20" s="261">
        <f>Revenue_Build!L36</f>
        <v>43635.406367496049</v>
      </c>
      <c r="N20" s="261">
        <f>Revenue_Build!M36</f>
        <v>62059.101504694299</v>
      </c>
      <c r="O20" s="261">
        <f>Revenue_Build!N36</f>
        <v>88989.474612517981</v>
      </c>
      <c r="P20" s="261">
        <f>Revenue_Build!O36</f>
        <v>128666.82045432176</v>
      </c>
      <c r="Q20" s="261">
        <f>Revenue_Build!P36</f>
        <v>187575.48423949748</v>
      </c>
      <c r="R20" s="261">
        <f>Revenue_Build!Q36</f>
        <v>275685.27897789812</v>
      </c>
      <c r="S20" s="261">
        <f>Revenue_Build!R36</f>
        <v>408402.02663502889</v>
      </c>
    </row>
    <row r="21" spans="1:19" x14ac:dyDescent="0.25">
      <c r="C21" s="11" t="s">
        <v>84</v>
      </c>
      <c r="E21" s="66" t="s">
        <v>85</v>
      </c>
      <c r="F21" s="116">
        <f>(F20-E20)/E20</f>
        <v>0.435126582278481</v>
      </c>
      <c r="G21" s="116">
        <f t="shared" ref="G21:N21" si="9">(G20-F20)/F20</f>
        <v>1.6378169790518191</v>
      </c>
      <c r="H21" s="116">
        <f t="shared" si="9"/>
        <v>0.13072100313479623</v>
      </c>
      <c r="I21" s="116">
        <f t="shared" si="9"/>
        <v>6.5335920894556879E-2</v>
      </c>
      <c r="J21" s="116">
        <f t="shared" si="9"/>
        <v>0.37951035744316691</v>
      </c>
      <c r="K21" s="116">
        <f t="shared" si="9"/>
        <v>0.3893699936104138</v>
      </c>
      <c r="L21" s="116">
        <f t="shared" si="9"/>
        <v>0.39982680262913833</v>
      </c>
      <c r="M21" s="116">
        <f t="shared" si="9"/>
        <v>0.41080786334499331</v>
      </c>
      <c r="N21" s="116">
        <f t="shared" si="9"/>
        <v>0.42221894261816784</v>
      </c>
      <c r="O21" s="116">
        <f t="shared" ref="O21" si="10">(O20-N20)/N20</f>
        <v>0.43394719637999596</v>
      </c>
      <c r="P21" s="116">
        <f t="shared" ref="P21" si="11">(P20-O20)/O20</f>
        <v>0.44586560393314695</v>
      </c>
      <c r="Q21" s="116">
        <f t="shared" ref="Q21" si="12">(Q20-P20)/P20</f>
        <v>0.45783880861569126</v>
      </c>
      <c r="R21" s="116">
        <f t="shared" ref="R21" si="13">(R20-Q20)/Q20</f>
        <v>0.46972980022219502</v>
      </c>
      <c r="S21" s="116">
        <f t="shared" ref="S21" si="14">(S20-R20)/R20</f>
        <v>0.48140672635542048</v>
      </c>
    </row>
    <row r="23" spans="1:19" x14ac:dyDescent="0.25">
      <c r="C23" s="10" t="s">
        <v>405</v>
      </c>
      <c r="E23" s="261">
        <f>Operating_Model!E122</f>
        <v>1870.0959999999998</v>
      </c>
      <c r="F23" s="261">
        <f>Operating_Model!F122</f>
        <v>2764</v>
      </c>
      <c r="G23" s="261">
        <f>Operating_Model!G122</f>
        <v>7482</v>
      </c>
      <c r="H23" s="261">
        <f>Operating_Model!H122</f>
        <v>8326</v>
      </c>
      <c r="I23" s="261">
        <f>Operating_Model!I122</f>
        <v>9031</v>
      </c>
      <c r="J23" s="261" t="e">
        <f ca="1">Operating_Model!J122</f>
        <v>#DIV/0!</v>
      </c>
      <c r="K23" s="261" t="e">
        <f ca="1">Operating_Model!K122</f>
        <v>#DIV/0!</v>
      </c>
      <c r="L23" s="261" t="e">
        <f ca="1">Operating_Model!L122</f>
        <v>#DIV/0!</v>
      </c>
      <c r="M23" s="261" t="e">
        <f ca="1">Operating_Model!M122</f>
        <v>#DIV/0!</v>
      </c>
      <c r="N23" s="261" t="e">
        <f ca="1">Operating_Model!N122</f>
        <v>#DIV/0!</v>
      </c>
      <c r="O23" s="261" t="e">
        <f ca="1">Operating_Model!O122</f>
        <v>#DIV/0!</v>
      </c>
      <c r="P23" s="261" t="e">
        <f ca="1">Operating_Model!P122</f>
        <v>#DIV/0!</v>
      </c>
      <c r="Q23" s="261" t="e">
        <f ca="1">Operating_Model!Q122</f>
        <v>#DIV/0!</v>
      </c>
      <c r="R23" s="261" t="e">
        <f ca="1">Operating_Model!R122</f>
        <v>#DIV/0!</v>
      </c>
      <c r="S23" s="261" t="e">
        <f ca="1">Operating_Model!S122</f>
        <v>#DIV/0!</v>
      </c>
    </row>
    <row r="24" spans="1:19" x14ac:dyDescent="0.25">
      <c r="C24" s="11" t="s">
        <v>86</v>
      </c>
      <c r="E24" s="15">
        <f t="shared" ref="E24:N24" si="15">E23/E20</f>
        <v>0.73975316455696194</v>
      </c>
      <c r="F24" s="15">
        <f t="shared" si="15"/>
        <v>0.76185226019845642</v>
      </c>
      <c r="G24" s="15">
        <f t="shared" si="15"/>
        <v>0.78181818181818186</v>
      </c>
      <c r="H24" s="15">
        <f t="shared" si="15"/>
        <v>0.7694298124018113</v>
      </c>
      <c r="I24" s="15">
        <f t="shared" si="15"/>
        <v>0.78339694656488545</v>
      </c>
      <c r="J24" s="15" t="e">
        <f t="shared" ca="1" si="15"/>
        <v>#DIV/0!</v>
      </c>
      <c r="K24" s="15" t="e">
        <f t="shared" ca="1" si="15"/>
        <v>#DIV/0!</v>
      </c>
      <c r="L24" s="15" t="e">
        <f t="shared" ca="1" si="15"/>
        <v>#DIV/0!</v>
      </c>
      <c r="M24" s="15" t="e">
        <f t="shared" ca="1" si="15"/>
        <v>#DIV/0!</v>
      </c>
      <c r="N24" s="15" t="e">
        <f t="shared" ca="1" si="15"/>
        <v>#DIV/0!</v>
      </c>
      <c r="O24" s="15" t="e">
        <f t="shared" ref="O24:S24" ca="1" si="16">O23/O20</f>
        <v>#DIV/0!</v>
      </c>
      <c r="P24" s="15" t="e">
        <f t="shared" ca="1" si="16"/>
        <v>#DIV/0!</v>
      </c>
      <c r="Q24" s="15" t="e">
        <f t="shared" ca="1" si="16"/>
        <v>#DIV/0!</v>
      </c>
      <c r="R24" s="15" t="e">
        <f t="shared" ca="1" si="16"/>
        <v>#DIV/0!</v>
      </c>
      <c r="S24" s="15" t="e">
        <f t="shared" ca="1" si="16"/>
        <v>#DIV/0!</v>
      </c>
    </row>
    <row r="25" spans="1:19" x14ac:dyDescent="0.25">
      <c r="C25" s="11"/>
      <c r="E25" s="15"/>
      <c r="F25" s="15"/>
      <c r="G25" s="15"/>
      <c r="H25" s="15"/>
      <c r="I25" s="15"/>
      <c r="J25" s="15"/>
      <c r="K25" s="15"/>
      <c r="L25" s="15"/>
      <c r="M25" s="15"/>
      <c r="N25" s="15"/>
      <c r="O25" s="15"/>
      <c r="P25" s="15"/>
      <c r="Q25" s="15"/>
      <c r="R25" s="15"/>
      <c r="S25" s="15"/>
    </row>
    <row r="26" spans="1:19" x14ac:dyDescent="0.25">
      <c r="C26" s="12" t="s">
        <v>87</v>
      </c>
      <c r="D26" s="21"/>
      <c r="E26" s="262">
        <f>Operating_Model!E102</f>
        <v>1585.9759999999999</v>
      </c>
      <c r="F26" s="262">
        <f>Operating_Model!F102</f>
        <v>2078</v>
      </c>
      <c r="G26" s="262">
        <f>Operating_Model!G102</f>
        <v>6124</v>
      </c>
      <c r="H26" s="262">
        <f>Operating_Model!H102</f>
        <v>6851</v>
      </c>
      <c r="I26" s="262">
        <f>Operating_Model!I102</f>
        <v>7515</v>
      </c>
      <c r="J26" s="262" t="e">
        <f ca="1">Operating_Model!J102</f>
        <v>#DIV/0!</v>
      </c>
      <c r="K26" s="262" t="e">
        <f ca="1">Operating_Model!K102</f>
        <v>#DIV/0!</v>
      </c>
      <c r="L26" s="262" t="e">
        <f ca="1">Operating_Model!L102</f>
        <v>#DIV/0!</v>
      </c>
      <c r="M26" s="262" t="e">
        <f ca="1">Operating_Model!M102</f>
        <v>#DIV/0!</v>
      </c>
      <c r="N26" s="262" t="e">
        <f ca="1">Operating_Model!N102</f>
        <v>#DIV/0!</v>
      </c>
      <c r="O26" s="262" t="e">
        <f ca="1">Operating_Model!O102</f>
        <v>#DIV/0!</v>
      </c>
      <c r="P26" s="262" t="e">
        <f ca="1">Operating_Model!P102</f>
        <v>#DIV/0!</v>
      </c>
      <c r="Q26" s="262" t="e">
        <f ca="1">Operating_Model!Q102</f>
        <v>#DIV/0!</v>
      </c>
      <c r="R26" s="262" t="e">
        <f ca="1">Operating_Model!R102</f>
        <v>#DIV/0!</v>
      </c>
      <c r="S26" s="262" t="e">
        <f ca="1">Operating_Model!S102</f>
        <v>#DIV/0!</v>
      </c>
    </row>
    <row r="27" spans="1:19" x14ac:dyDescent="0.25">
      <c r="C27" t="s">
        <v>88</v>
      </c>
      <c r="E27" s="234">
        <f>Operating_Model!E151</f>
        <v>51.282480000000007</v>
      </c>
      <c r="F27" s="234">
        <f>Operating_Model!F151</f>
        <v>249.18</v>
      </c>
      <c r="G27" s="234">
        <f>Operating_Model!G151</f>
        <v>-216.64</v>
      </c>
      <c r="H27" s="234">
        <f>Operating_Model!H151</f>
        <v>2.4699999999999989</v>
      </c>
      <c r="I27" s="234">
        <f>Operating_Model!I151</f>
        <v>-828.78</v>
      </c>
      <c r="J27" s="234" t="e">
        <f ca="1">Operating_Model!J151</f>
        <v>#DIV/0!</v>
      </c>
      <c r="K27" s="234" t="e">
        <f ca="1">Operating_Model!K151</f>
        <v>#DIV/0!</v>
      </c>
      <c r="L27" s="234" t="e">
        <f ca="1">Operating_Model!L151</f>
        <v>#DIV/0!</v>
      </c>
      <c r="M27" s="234" t="e">
        <f ca="1">Operating_Model!M151</f>
        <v>#DIV/0!</v>
      </c>
      <c r="N27" s="234" t="e">
        <f ca="1">Operating_Model!N151</f>
        <v>#DIV/0!</v>
      </c>
      <c r="O27" s="234" t="e">
        <f ca="1">Operating_Model!O151</f>
        <v>#DIV/0!</v>
      </c>
      <c r="P27" s="234" t="e">
        <f ca="1">Operating_Model!P151</f>
        <v>#DIV/0!</v>
      </c>
      <c r="Q27" s="234" t="e">
        <f ca="1">Operating_Model!Q151</f>
        <v>#DIV/0!</v>
      </c>
      <c r="R27" s="234" t="e">
        <f ca="1">Operating_Model!R151</f>
        <v>#DIV/0!</v>
      </c>
      <c r="S27" s="234" t="e">
        <f ca="1">Operating_Model!S151</f>
        <v>#DIV/0!</v>
      </c>
    </row>
    <row r="28" spans="1:19" x14ac:dyDescent="0.25">
      <c r="C28" s="10" t="s">
        <v>89</v>
      </c>
      <c r="E28" s="261">
        <f>E26-E27</f>
        <v>1534.6935199999998</v>
      </c>
      <c r="F28" s="261">
        <f t="shared" ref="F28:N28" si="17">F26-F27</f>
        <v>1828.82</v>
      </c>
      <c r="G28" s="261">
        <f t="shared" si="17"/>
        <v>6340.64</v>
      </c>
      <c r="H28" s="261">
        <f t="shared" si="17"/>
        <v>6848.53</v>
      </c>
      <c r="I28" s="261">
        <f t="shared" si="17"/>
        <v>8343.7800000000007</v>
      </c>
      <c r="J28" s="261" t="e">
        <f t="shared" ca="1" si="17"/>
        <v>#DIV/0!</v>
      </c>
      <c r="K28" s="261" t="e">
        <f t="shared" ca="1" si="17"/>
        <v>#DIV/0!</v>
      </c>
      <c r="L28" s="261" t="e">
        <f t="shared" ca="1" si="17"/>
        <v>#DIV/0!</v>
      </c>
      <c r="M28" s="261" t="e">
        <f t="shared" ca="1" si="17"/>
        <v>#DIV/0!</v>
      </c>
      <c r="N28" s="261" t="e">
        <f t="shared" ca="1" si="17"/>
        <v>#DIV/0!</v>
      </c>
      <c r="O28" s="261" t="e">
        <f t="shared" ref="O28:S28" ca="1" si="18">O26-O27</f>
        <v>#DIV/0!</v>
      </c>
      <c r="P28" s="261" t="e">
        <f t="shared" ca="1" si="18"/>
        <v>#DIV/0!</v>
      </c>
      <c r="Q28" s="261" t="e">
        <f t="shared" ca="1" si="18"/>
        <v>#DIV/0!</v>
      </c>
      <c r="R28" s="261" t="e">
        <f t="shared" ca="1" si="18"/>
        <v>#DIV/0!</v>
      </c>
      <c r="S28" s="261" t="e">
        <f t="shared" ca="1" si="18"/>
        <v>#DIV/0!</v>
      </c>
    </row>
    <row r="29" spans="1:19" x14ac:dyDescent="0.25">
      <c r="C29" t="s">
        <v>90</v>
      </c>
      <c r="E29" s="234">
        <f>Operating_Model!E110</f>
        <v>221.52499999999998</v>
      </c>
      <c r="F29" s="234">
        <f>Operating_Model!F110</f>
        <v>583</v>
      </c>
      <c r="G29" s="234">
        <f>Operating_Model!G110</f>
        <v>1126</v>
      </c>
      <c r="H29" s="234">
        <f>Operating_Model!H110</f>
        <v>1205</v>
      </c>
      <c r="I29" s="234">
        <f>Operating_Model!I110</f>
        <v>1261</v>
      </c>
      <c r="J29" s="234" t="e">
        <f ca="1">Operating_Model!J110</f>
        <v>#DIV/0!</v>
      </c>
      <c r="K29" s="234" t="e">
        <f ca="1">Operating_Model!K110</f>
        <v>#DIV/0!</v>
      </c>
      <c r="L29" s="234" t="e">
        <f ca="1">Operating_Model!L110</f>
        <v>#DIV/0!</v>
      </c>
      <c r="M29" s="234" t="e">
        <f ca="1">Operating_Model!M110</f>
        <v>#DIV/0!</v>
      </c>
      <c r="N29" s="234" t="e">
        <f ca="1">Operating_Model!N110</f>
        <v>#DIV/0!</v>
      </c>
      <c r="O29" s="234" t="e">
        <f ca="1">Operating_Model!O110</f>
        <v>#DIV/0!</v>
      </c>
      <c r="P29" s="234" t="e">
        <f ca="1">Operating_Model!P110</f>
        <v>#DIV/0!</v>
      </c>
      <c r="Q29" s="234" t="e">
        <f ca="1">Operating_Model!Q110</f>
        <v>#DIV/0!</v>
      </c>
      <c r="R29" s="234" t="e">
        <f ca="1">Operating_Model!R110</f>
        <v>#DIV/0!</v>
      </c>
      <c r="S29" s="234" t="e">
        <f ca="1">Operating_Model!S110</f>
        <v>#DIV/0!</v>
      </c>
    </row>
    <row r="30" spans="1:19" x14ac:dyDescent="0.25">
      <c r="B30" t="s">
        <v>369</v>
      </c>
      <c r="C30" t="s">
        <v>91</v>
      </c>
      <c r="E30" s="268" cm="1">
        <f t="array" ref="E30">IFERROR(-_xll.BDP(Hub!$D$4,$B30,"EQY_FUND_RELATIVE_PERIOD",E$17, "EQY_FUND_CRNCY", Hub!$D$8),0)</f>
        <v>170.76599999999999</v>
      </c>
      <c r="F30" s="268" cm="1">
        <f t="array" ref="F30">IFERROR(-_xll.BDP(Hub!$D$4,$B30,"EQY_FUND_RELATIVE_PERIOD",F$17, "EQY_FUND_CRNCY", Hub!$D$8),0)</f>
        <v>199</v>
      </c>
      <c r="G30" s="268" cm="1">
        <f t="array" ref="G30">IFERROR(-_xll.BDP(Hub!$D$4,$B30,"EQY_FUND_RELATIVE_PERIOD",G$17, "EQY_FUND_CRNCY", Hub!$D$8),0)</f>
        <v>832</v>
      </c>
      <c r="H30" s="268" cm="1">
        <f t="array" ref="H30">IFERROR(-_xll.BDP(Hub!$D$4,$B30,"EQY_FUND_RELATIVE_PERIOD",H$17, "EQY_FUND_CRNCY", Hub!$D$8),0)</f>
        <v>963</v>
      </c>
      <c r="I30" s="268" cm="1">
        <f t="array" ref="I30">IFERROR(-_xll.BDP(Hub!$D$4,$B30,"EQY_FUND_RELATIVE_PERIOD",I$17, "EQY_FUND_CRNCY", Hub!$D$8),0)</f>
        <v>1294</v>
      </c>
      <c r="J30" s="234" t="e">
        <f ca="1">'D&amp;A+CAPEX'!J45</f>
        <v>#DIV/0!</v>
      </c>
      <c r="K30" s="234" t="e">
        <f ca="1">'D&amp;A+CAPEX'!K45</f>
        <v>#DIV/0!</v>
      </c>
      <c r="L30" s="234" t="e">
        <f ca="1">'D&amp;A+CAPEX'!L45</f>
        <v>#DIV/0!</v>
      </c>
      <c r="M30" s="234" t="e">
        <f ca="1">'D&amp;A+CAPEX'!M45</f>
        <v>#DIV/0!</v>
      </c>
      <c r="N30" s="234" t="e">
        <f ca="1">'D&amp;A+CAPEX'!N45</f>
        <v>#DIV/0!</v>
      </c>
      <c r="O30" s="234" t="e">
        <f ca="1">'D&amp;A+CAPEX'!O45</f>
        <v>#DIV/0!</v>
      </c>
      <c r="P30" s="234" t="e">
        <f ca="1">'D&amp;A+CAPEX'!P45</f>
        <v>#DIV/0!</v>
      </c>
      <c r="Q30" s="234" t="e">
        <f ca="1">'D&amp;A+CAPEX'!Q45</f>
        <v>#DIV/0!</v>
      </c>
      <c r="R30" s="234" t="e">
        <f ca="1">'D&amp;A+CAPEX'!R45</f>
        <v>#DIV/0!</v>
      </c>
      <c r="S30" s="234" t="e">
        <f ca="1">'D&amp;A+CAPEX'!S45</f>
        <v>#DIV/0!</v>
      </c>
    </row>
    <row r="31" spans="1:19" x14ac:dyDescent="0.25">
      <c r="C31" t="s">
        <v>92</v>
      </c>
      <c r="E31" s="234">
        <f>Net_Working_Capital!E24</f>
        <v>17.640000000000086</v>
      </c>
      <c r="F31" s="234">
        <f>Net_Working_Capital!F24</f>
        <v>2501.5879999999997</v>
      </c>
      <c r="G31" s="234">
        <f>Net_Working_Capital!G24</f>
        <v>-2727</v>
      </c>
      <c r="H31" s="234">
        <f>Net_Working_Capital!H24</f>
        <v>-1162</v>
      </c>
      <c r="I31" s="234">
        <f>Net_Working_Capital!I24</f>
        <v>-116</v>
      </c>
      <c r="J31" s="234">
        <f ca="1">Net_Working_Capital!J24</f>
        <v>2579.7505123984765</v>
      </c>
      <c r="K31" s="234">
        <f ca="1">Net_Working_Capital!K24</f>
        <v>372.09600103421076</v>
      </c>
      <c r="L31" s="234">
        <f ca="1">Net_Working_Capital!L24</f>
        <v>528.45903140282417</v>
      </c>
      <c r="M31" s="234">
        <f ca="1">Net_Working_Capital!M24</f>
        <v>757.13666980651624</v>
      </c>
      <c r="N31" s="234">
        <f ca="1">Net_Working_Capital!N24</f>
        <v>1094.2436852824067</v>
      </c>
      <c r="O31" s="234">
        <f ca="1">Net_Working_Capital!O24</f>
        <v>1595.0282627330434</v>
      </c>
      <c r="P31" s="234">
        <f ca="1">Net_Working_Capital!P24</f>
        <v>2344.460332700537</v>
      </c>
      <c r="Q31" s="234">
        <f ca="1">Net_Working_Capital!Q24</f>
        <v>3473.8675759799789</v>
      </c>
      <c r="R31" s="234">
        <f ca="1">Net_Working_Capital!R24</f>
        <v>5187.1533503623104</v>
      </c>
      <c r="S31" s="234">
        <f ca="1">Net_Working_Capital!S24</f>
        <v>7802.2310080969946</v>
      </c>
    </row>
    <row r="32" spans="1:19" x14ac:dyDescent="0.25">
      <c r="C32" s="13" t="s">
        <v>93</v>
      </c>
      <c r="D32" s="22"/>
      <c r="E32" s="237">
        <f t="shared" ref="E32:H32" si="19">E28+E29-E30-E31</f>
        <v>1567.8125199999997</v>
      </c>
      <c r="F32" s="237">
        <f t="shared" si="19"/>
        <v>-288.76800000000003</v>
      </c>
      <c r="G32" s="237">
        <f t="shared" si="19"/>
        <v>9361.64</v>
      </c>
      <c r="H32" s="237">
        <f t="shared" si="19"/>
        <v>8252.5299999999988</v>
      </c>
      <c r="I32" s="237">
        <f>I28+I29-I30-I31</f>
        <v>8426.7800000000007</v>
      </c>
      <c r="J32" s="237" t="e">
        <f ca="1">J28+J29-J30-J31</f>
        <v>#DIV/0!</v>
      </c>
      <c r="K32" s="237" t="e">
        <f t="shared" ref="K32:N32" ca="1" si="20">K28+K29-K30-K31</f>
        <v>#DIV/0!</v>
      </c>
      <c r="L32" s="237" t="e">
        <f t="shared" ca="1" si="20"/>
        <v>#DIV/0!</v>
      </c>
      <c r="M32" s="237" t="e">
        <f t="shared" ca="1" si="20"/>
        <v>#DIV/0!</v>
      </c>
      <c r="N32" s="237" t="e">
        <f t="shared" ca="1" si="20"/>
        <v>#DIV/0!</v>
      </c>
      <c r="O32" s="237" t="e">
        <f t="shared" ref="O32:S32" ca="1" si="21">O28+O29-O30-O31</f>
        <v>#DIV/0!</v>
      </c>
      <c r="P32" s="237" t="e">
        <f t="shared" ca="1" si="21"/>
        <v>#DIV/0!</v>
      </c>
      <c r="Q32" s="237" t="e">
        <f t="shared" ca="1" si="21"/>
        <v>#DIV/0!</v>
      </c>
      <c r="R32" s="237" t="e">
        <f t="shared" ca="1" si="21"/>
        <v>#DIV/0!</v>
      </c>
      <c r="S32" s="237" t="e">
        <f t="shared" ca="1" si="21"/>
        <v>#DIV/0!</v>
      </c>
    </row>
    <row r="33" spans="3:27" x14ac:dyDescent="0.25">
      <c r="C33" t="s">
        <v>94</v>
      </c>
      <c r="J33" s="23">
        <f ca="1">1/((1+$I$11)^((J$16-$D$9)/365))</f>
        <v>0.96567031523494629</v>
      </c>
      <c r="K33" s="23">
        <f t="shared" ref="K33:S33" ca="1" si="22">1/((1+$I$11)^((K$16-$D$9)/365))</f>
        <v>0.89343691308119955</v>
      </c>
      <c r="L33" s="23">
        <f t="shared" ca="1" si="22"/>
        <v>0.82660666385075188</v>
      </c>
      <c r="M33" s="23">
        <f t="shared" ca="1" si="22"/>
        <v>0.76477540464054072</v>
      </c>
      <c r="N33" s="23">
        <f t="shared" ca="1" si="22"/>
        <v>0.70741850485566071</v>
      </c>
      <c r="O33" s="23">
        <f t="shared" ca="1" si="22"/>
        <v>0.65450267577189225</v>
      </c>
      <c r="P33" s="23">
        <f t="shared" ca="1" si="22"/>
        <v>0.60554501988885723</v>
      </c>
      <c r="Q33" s="23">
        <f t="shared" ca="1" si="22"/>
        <v>0.56024946067599235</v>
      </c>
      <c r="R33" s="23">
        <f t="shared" ca="1" si="22"/>
        <v>0.51823167090981948</v>
      </c>
      <c r="S33" s="23">
        <f t="shared" ca="1" si="22"/>
        <v>0.47946726435919507</v>
      </c>
    </row>
    <row r="34" spans="3:27" x14ac:dyDescent="0.25">
      <c r="C34" t="s">
        <v>95</v>
      </c>
      <c r="D34" s="45">
        <f>I11</f>
        <v>8.0848911765504614E-2</v>
      </c>
    </row>
    <row r="35" spans="3:27" x14ac:dyDescent="0.25">
      <c r="C35" s="13" t="s">
        <v>96</v>
      </c>
      <c r="D35" s="22"/>
      <c r="E35" s="22"/>
      <c r="F35" s="22"/>
      <c r="G35" s="22"/>
      <c r="H35" s="22"/>
      <c r="I35" s="22"/>
      <c r="J35" s="263" t="e">
        <f ca="1">J32*J33</f>
        <v>#DIV/0!</v>
      </c>
      <c r="K35" s="263" t="e">
        <f t="shared" ref="K35:S35" ca="1" si="23">K32*K33</f>
        <v>#DIV/0!</v>
      </c>
      <c r="L35" s="263" t="e">
        <f t="shared" ca="1" si="23"/>
        <v>#DIV/0!</v>
      </c>
      <c r="M35" s="263" t="e">
        <f t="shared" ca="1" si="23"/>
        <v>#DIV/0!</v>
      </c>
      <c r="N35" s="263" t="e">
        <f t="shared" ca="1" si="23"/>
        <v>#DIV/0!</v>
      </c>
      <c r="O35" s="263" t="e">
        <f t="shared" ca="1" si="23"/>
        <v>#DIV/0!</v>
      </c>
      <c r="P35" s="263" t="e">
        <f t="shared" ca="1" si="23"/>
        <v>#DIV/0!</v>
      </c>
      <c r="Q35" s="263" t="e">
        <f t="shared" ca="1" si="23"/>
        <v>#DIV/0!</v>
      </c>
      <c r="R35" s="263" t="e">
        <f t="shared" ca="1" si="23"/>
        <v>#DIV/0!</v>
      </c>
      <c r="S35" s="263" t="e">
        <f t="shared" ca="1" si="23"/>
        <v>#DIV/0!</v>
      </c>
    </row>
    <row r="36" spans="3:27" x14ac:dyDescent="0.25">
      <c r="U36" s="24" t="s">
        <v>97</v>
      </c>
      <c r="V36" s="25"/>
      <c r="W36" s="25"/>
      <c r="X36" s="25"/>
      <c r="Y36" s="25"/>
      <c r="Z36" s="25"/>
      <c r="AA36" s="25"/>
    </row>
    <row r="37" spans="3:27" x14ac:dyDescent="0.25">
      <c r="U37" s="26"/>
      <c r="V37" s="26"/>
      <c r="W37" s="26"/>
      <c r="X37" s="26"/>
      <c r="Y37" s="26"/>
      <c r="Z37" s="26"/>
      <c r="AA37" s="26"/>
    </row>
    <row r="38" spans="3:27" x14ac:dyDescent="0.25">
      <c r="C38" s="3" t="s">
        <v>98</v>
      </c>
      <c r="D38" s="235" t="e">
        <f ca="1">SUM(J35:N35)</f>
        <v>#DIV/0!</v>
      </c>
      <c r="U38" s="26"/>
      <c r="V38" s="26"/>
      <c r="W38" s="26"/>
      <c r="X38" s="26"/>
      <c r="Y38" s="27" t="s">
        <v>99</v>
      </c>
      <c r="Z38" s="26"/>
      <c r="AA38" s="26"/>
    </row>
    <row r="39" spans="3:27" x14ac:dyDescent="0.25">
      <c r="D39" s="234"/>
      <c r="E39" s="347"/>
      <c r="F39" s="347"/>
      <c r="G39" s="347"/>
      <c r="H39" s="347"/>
      <c r="I39" s="347"/>
      <c r="U39" s="26"/>
      <c r="V39" s="28"/>
      <c r="W39" s="29"/>
      <c r="X39" s="29"/>
      <c r="Y39" s="30" t="s">
        <v>46</v>
      </c>
      <c r="Z39" s="29"/>
      <c r="AA39" s="29"/>
    </row>
    <row r="40" spans="3:27" x14ac:dyDescent="0.25">
      <c r="C40" s="2" t="s">
        <v>100</v>
      </c>
      <c r="D40" s="236"/>
      <c r="U40" s="26"/>
      <c r="V40" s="31">
        <f>F42</f>
        <v>0</v>
      </c>
      <c r="W40" s="32">
        <f t="shared" ref="W40:X40" si="24">X40-0.005</f>
        <v>7.0848911765504605E-2</v>
      </c>
      <c r="X40" s="32">
        <f t="shared" si="24"/>
        <v>7.5848911765504609E-2</v>
      </c>
      <c r="Y40" s="33">
        <f>I11</f>
        <v>8.0848911765504614E-2</v>
      </c>
      <c r="Z40" s="32">
        <f t="shared" ref="Z40:AA40" si="25">Y40+0.005</f>
        <v>8.5848911765504618E-2</v>
      </c>
      <c r="AA40" s="32">
        <f t="shared" si="25"/>
        <v>9.0848911765504622E-2</v>
      </c>
    </row>
    <row r="41" spans="3:27" x14ac:dyDescent="0.25">
      <c r="C41" t="s">
        <v>101</v>
      </c>
      <c r="D41" s="300">
        <f>I10</f>
        <v>8.9217673412850083</v>
      </c>
      <c r="U41" s="34"/>
      <c r="V41" s="35">
        <f t="shared" ref="V41:V42" si="26">V42-0.5</f>
        <v>7.9217673412850083</v>
      </c>
      <c r="W41" s="239" t="e">
        <f ca="1">IF($F$10=Hub!$B$21,(SUM($J$35:$N$35))+($V41*$N$23*(1/((1+W$40)^(($N$16-$D$9)/365))))+$D$45-$D$46,(SUM($J$35:$N$35))+($V41*$N$20*(1/((1+W$40)^(($N$16-$D$9)/365))))+$D$45-$D$46)</f>
        <v>#DIV/0!</v>
      </c>
      <c r="X41" s="239" t="e">
        <f ca="1">IF($F$10=Hub!$B$21,(SUM($J$35:$N$35))+($V41*$N$23*(1/((1+X$40)^(($N$16-$D$9)/365))))+$D$45-$D$46,(SUM($J$35:$N$35))+($V41*$N$20*(1/((1+X$40)^(($N$16-$D$9)/365))))+$D$45-$D$46)</f>
        <v>#DIV/0!</v>
      </c>
      <c r="Y41" s="239" t="e">
        <f ca="1">IF($F$10=Hub!$B$21,(SUM($J$35:$N$35))+($V41*$N$23*(1/((1+Y$40)^(($N$16-$D$9)/365))))+$D$45-$D$46,(SUM($J$35:$N$35))+($V41*$N$20*(1/((1+Y$40)^(($N$16-$D$9)/365))))+$D$45-$D$46)</f>
        <v>#DIV/0!</v>
      </c>
      <c r="Z41" s="239" t="e">
        <f ca="1">IF($F$10=Hub!$B$21,(SUM($J$35:$N$35))+($V41*$N$23*(1/((1+Z$40)^(($N$16-$D$9)/365))))+$D$45-$D$46,(SUM($J$35:$N$35))+($V41*$N$20*(1/((1+Z$40)^(($N$16-$D$9)/365))))+$D$45-$D$46)</f>
        <v>#DIV/0!</v>
      </c>
      <c r="AA41" s="239" t="e">
        <f ca="1">IF($F$10=Hub!$B$21,(SUM($J$35:$N$35))+($V41*$N$23*(1/((1+AA$40)^(($N$16-$D$9)/365))))+$D$45-$D$46,(SUM($J$35:$N$35))+($V41*$N$20*(1/((1+AA$40)^(($N$16-$D$9)/365))))+$D$45-$D$46)</f>
        <v>#DIV/0!</v>
      </c>
    </row>
    <row r="42" spans="3:27" x14ac:dyDescent="0.25">
      <c r="C42" t="s">
        <v>102</v>
      </c>
      <c r="D42" s="234" t="e">
        <f ca="1">IF(F10=Hub!B21,N23*I10,N20*I10)</f>
        <v>#DIV/0!</v>
      </c>
      <c r="U42" s="36" t="s">
        <v>104</v>
      </c>
      <c r="V42" s="35">
        <f t="shared" si="26"/>
        <v>8.4217673412850083</v>
      </c>
      <c r="W42" s="239" t="e">
        <f ca="1">IF($F$10=Hub!$B$21,(SUM($J$35:$N$35))+($V42*$N$23*(1/((1+W$40)^(($N$16-$D$9)/365))))+$D$45-$D$46,(SUM($J$35:$N$35))+($V42*$N$20*(1/((1+W$40)^(($N$16-$D$9)/365))))+$D$45-$D$46)</f>
        <v>#DIV/0!</v>
      </c>
      <c r="X42" s="240" t="e">
        <f ca="1">IF($F$10=Hub!$B$21,(SUM($J$35:$N$35))+($V42*$N$23*(1/((1+X$40)^(($N$16-$D$9)/365))))+$D$45-$D$46,(SUM($J$35:$N$35))+($V42*$N$20*(1/((1+X$40)^(($N$16-$D$9)/365))))+$D$45-$D$46)</f>
        <v>#DIV/0!</v>
      </c>
      <c r="Y42" s="240" t="e">
        <f ca="1">IF($F$10=Hub!$B$21,(SUM($J$35:$N$35))+($V42*$N$23*(1/((1+Y$40)^(($N$16-$D$9)/365))))+$D$45-$D$46,(SUM($J$35:$N$35))+($V42*$N$20*(1/((1+Y$40)^(($N$16-$D$9)/365))))+$D$45-$D$46)</f>
        <v>#DIV/0!</v>
      </c>
      <c r="Z42" s="240" t="e">
        <f ca="1">IF($F$10=Hub!$B$21,(SUM($J$35:$N$35))+($V42*$N$23*(1/((1+Z$40)^(($N$16-$D$9)/365))))+$D$45-$D$46,(SUM($J$35:$N$35))+($V42*$N$20*(1/((1+Z$40)^(($N$16-$D$9)/365))))+$D$45-$D$46)</f>
        <v>#DIV/0!</v>
      </c>
      <c r="AA42" s="239" t="e">
        <f ca="1">IF($F$10=Hub!$B$21,(SUM($J$35:$N$35))+($V42*$N$23*(1/((1+AA$40)^(($N$16-$D$9)/365))))+$D$45-$D$46,(SUM($J$35:$N$35))+($V42*$N$20*(1/((1+AA$40)^(($N$16-$D$9)/365))))+$D$45-$D$46)</f>
        <v>#DIV/0!</v>
      </c>
    </row>
    <row r="43" spans="3:27" x14ac:dyDescent="0.25">
      <c r="C43" t="s">
        <v>103</v>
      </c>
      <c r="D43" s="234" t="e">
        <f ca="1">D42*N33</f>
        <v>#DIV/0!</v>
      </c>
      <c r="U43" s="36" t="s">
        <v>106</v>
      </c>
      <c r="V43" s="37">
        <f>I10</f>
        <v>8.9217673412850083</v>
      </c>
      <c r="W43" s="239" t="e">
        <f ca="1">IF($F$10=Hub!$B$21,(SUM($J$35:$N$35))+($V43*$N$23*(1/((1+W$40)^(($N$16-$D$9)/365))))+$D$45-$D$46,(SUM($J$35:$N$35))+($V43*$N$20*(1/((1+W$40)^(($N$16-$D$9)/365))))+$D$45-$D$46)</f>
        <v>#DIV/0!</v>
      </c>
      <c r="X43" s="240" t="e">
        <f ca="1">IF($F$10=Hub!$B$21,(SUM($J$35:$N$35))+($V43*$N$23*(1/((1+X$40)^(($N$16-$D$9)/365))))+$D$45-$D$46,(SUM($J$35:$N$35))+($V43*$N$20*(1/((1+X$40)^(($N$16-$D$9)/365))))+$D$45-$D$46)</f>
        <v>#DIV/0!</v>
      </c>
      <c r="Y43" s="240" t="e">
        <f ca="1">IF($F$10=Hub!$B$21,(SUM($J$35:$N$35))+($V43*$N$23*(1/((1+Y$40)^(($N$16-$D$9)/365))))+$D$45-$D$46,(SUM($J$35:$N$35))+($V43*$N$20*(1/((1+Y$40)^(($N$16-$D$9)/365))))+$D$45-$D$46)</f>
        <v>#DIV/0!</v>
      </c>
      <c r="Z43" s="240" t="e">
        <f ca="1">IF($F$10=Hub!$B$21,(SUM($J$35:$N$35))+($V43*$N$23*(1/((1+Z$40)^(($N$16-$D$9)/365))))+$D$45-$D$46,(SUM($J$35:$N$35))+($V43*$N$20*(1/((1+Z$40)^(($N$16-$D$9)/365))))+$D$45-$D$46)</f>
        <v>#DIV/0!</v>
      </c>
      <c r="AA43" s="239" t="e">
        <f ca="1">IF($F$10=Hub!$B$21,(SUM($J$35:$N$35))+($V43*$N$23*(1/((1+AA$40)^(($N$16-$D$9)/365))))+$D$45-$D$46,(SUM($J$35:$N$35))+($V43*$N$20*(1/((1+AA$40)^(($N$16-$D$9)/365))))+$D$45-$D$46)</f>
        <v>#DIV/0!</v>
      </c>
    </row>
    <row r="44" spans="3:27" x14ac:dyDescent="0.25">
      <c r="C44" s="13" t="s">
        <v>105</v>
      </c>
      <c r="D44" s="237" t="e">
        <f ca="1">D43+D38</f>
        <v>#DIV/0!</v>
      </c>
      <c r="U44" s="36" t="s">
        <v>108</v>
      </c>
      <c r="V44" s="35">
        <f t="shared" ref="V44:V45" si="27">V43+0.5</f>
        <v>9.4217673412850083</v>
      </c>
      <c r="W44" s="239" t="e">
        <f ca="1">IF($F$10=Hub!$B$21,(SUM($J$35:$N$35))+($V44*$N$23*(1/((1+W$40)^(($N$16-$D$9)/365))))+$D$45-$D$46,(SUM($J$35:$N$35))+($V44*$N$20*(1/((1+W$40)^(($N$16-$D$9)/365))))+$D$45-$D$46)</f>
        <v>#DIV/0!</v>
      </c>
      <c r="X44" s="240" t="e">
        <f ca="1">IF($F$10=Hub!$B$21,(SUM($J$35:$N$35))+($V44*$N$23*(1/((1+X$40)^(($N$16-$D$9)/365))))+$D$45-$D$46,(SUM($J$35:$N$35))+($V44*$N$20*(1/((1+X$40)^(($N$16-$D$9)/365))))+$D$45-$D$46)</f>
        <v>#DIV/0!</v>
      </c>
      <c r="Y44" s="240" t="e">
        <f ca="1">IF($F$10=Hub!$B$21,(SUM($J$35:$N$35))+($V44*$N$23*(1/((1+Y$40)^(($N$16-$D$9)/365))))+$D$45-$D$46,(SUM($J$35:$N$35))+($V44*$N$20*(1/((1+Y$40)^(($N$16-$D$9)/365))))+$D$45-$D$46)</f>
        <v>#DIV/0!</v>
      </c>
      <c r="Z44" s="240" t="e">
        <f ca="1">IF($F$10=Hub!$B$21,(SUM($J$35:$N$35))+($V44*$N$23*(1/((1+Z$40)^(($N$16-$D$9)/365))))+$D$45-$D$46,(SUM($J$35:$N$35))+($V44*$N$20*(1/((1+Z$40)^(($N$16-$D$9)/365))))+$D$45-$D$46)</f>
        <v>#DIV/0!</v>
      </c>
      <c r="AA44" s="239" t="e">
        <f ca="1">IF($F$10=Hub!$B$21,(SUM($J$35:$N$35))+($V44*$N$23*(1/((1+AA$40)^(($N$16-$D$9)/365))))+$D$45-$D$46,(SUM($J$35:$N$35))+($V44*$N$20*(1/((1+AA$40)^(($N$16-$D$9)/365))))+$D$45-$D$46)</f>
        <v>#DIV/0!</v>
      </c>
    </row>
    <row r="45" spans="3:27" x14ac:dyDescent="0.25">
      <c r="C45" t="s">
        <v>278</v>
      </c>
      <c r="D45" s="234">
        <f>WACC_Calculator!L8</f>
        <v>25711</v>
      </c>
      <c r="U45" s="38"/>
      <c r="V45" s="35">
        <f t="shared" si="27"/>
        <v>9.9217673412850083</v>
      </c>
      <c r="W45" s="239" t="e">
        <f ca="1">IF($F$10=Hub!$B$21,(SUM($J$35:$N$35))+($V45*$N$23*(1/((1+W$40)^(($N$16-$D$9)/365))))+$D$45-$D$46,(SUM($J$35:$N$35))+($V45*$N$20*(1/((1+W$40)^(($N$16-$D$9)/365))))+$D$45-$D$46)</f>
        <v>#DIV/0!</v>
      </c>
      <c r="X45" s="239" t="e">
        <f ca="1">IF($F$10=Hub!$B$21,(SUM($J$35:$N$35))+($V45*$N$23*(1/((1+X$40)^(($N$16-$D$9)/365))))+$D$45-$D$46,(SUM($J$35:$N$35))+($V45*$N$20*(1/((1+X$40)^(($N$16-$D$9)/365))))+$D$45-$D$46)</f>
        <v>#DIV/0!</v>
      </c>
      <c r="Y45" s="239" t="e">
        <f ca="1">IF($F$10=Hub!$B$21,(SUM($J$35:$N$35))+($V45*$N$23*(1/((1+Y$40)^(($N$16-$D$9)/365))))+$D$45-$D$46,(SUM($J$35:$N$35))+($V45*$N$20*(1/((1+Y$40)^(($N$16-$D$9)/365))))+$D$45-$D$46)</f>
        <v>#DIV/0!</v>
      </c>
      <c r="Z45" s="239" t="e">
        <f ca="1">IF($F$10=Hub!$B$21,(SUM($J$35:$N$35))+($V45*$N$23*(1/((1+Z$40)^(($N$16-$D$9)/365))))+$D$45-$D$46,(SUM($J$35:$N$35))+($V45*$N$20*(1/((1+Z$40)^(($N$16-$D$9)/365))))+$D$45-$D$46)</f>
        <v>#DIV/0!</v>
      </c>
      <c r="AA45" s="239" t="e">
        <f ca="1">IF($F$10=Hub!$B$21,(SUM($J$35:$N$35))+($V45*$N$23*(1/((1+AA$40)^(($N$16-$D$9)/365))))+$D$45-$D$46,(SUM($J$35:$N$35))+($V45*$N$20*(1/((1+AA$40)^(($N$16-$D$9)/365))))+$D$45-$D$46)</f>
        <v>#DIV/0!</v>
      </c>
    </row>
    <row r="46" spans="3:27" x14ac:dyDescent="0.25">
      <c r="C46" t="s">
        <v>277</v>
      </c>
      <c r="D46" s="234">
        <f>Net_Working_Capital!I8</f>
        <v>1005</v>
      </c>
      <c r="U46" s="26"/>
      <c r="V46" s="26"/>
      <c r="W46" s="26"/>
      <c r="X46" s="26"/>
      <c r="Y46" s="26"/>
      <c r="Z46" s="26"/>
      <c r="AA46" s="26"/>
    </row>
    <row r="47" spans="3:27" x14ac:dyDescent="0.25">
      <c r="C47" s="13" t="s">
        <v>99</v>
      </c>
      <c r="D47" s="237" t="e">
        <f ca="1">D44+D45-D46</f>
        <v>#DIV/0!</v>
      </c>
      <c r="U47" s="26"/>
      <c r="V47" s="26"/>
      <c r="W47" s="26"/>
      <c r="X47" s="26"/>
      <c r="Y47" s="27" t="s">
        <v>111</v>
      </c>
      <c r="Z47" s="26"/>
      <c r="AA47" s="26"/>
    </row>
    <row r="48" spans="3:27" x14ac:dyDescent="0.25">
      <c r="C48" t="s">
        <v>110</v>
      </c>
      <c r="D48" s="234">
        <f>N10</f>
        <v>216.41549999999998</v>
      </c>
      <c r="U48" s="26"/>
      <c r="V48" s="26"/>
      <c r="W48" s="29"/>
      <c r="X48" s="29"/>
      <c r="Y48" s="30" t="s">
        <v>46</v>
      </c>
      <c r="Z48" s="29"/>
      <c r="AA48" s="29"/>
    </row>
    <row r="49" spans="3:27" x14ac:dyDescent="0.25">
      <c r="C49" s="18" t="s">
        <v>112</v>
      </c>
      <c r="D49" s="360" t="e">
        <f ca="1">D47/D48</f>
        <v>#DIV/0!</v>
      </c>
      <c r="U49" s="26"/>
      <c r="V49" s="39">
        <f>F48</f>
        <v>0</v>
      </c>
      <c r="W49" s="32">
        <f t="shared" ref="W49:X49" si="28">X49-0.005</f>
        <v>7.0848911765504605E-2</v>
      </c>
      <c r="X49" s="32">
        <f t="shared" si="28"/>
        <v>7.5848911765504609E-2</v>
      </c>
      <c r="Y49" s="33">
        <f>Y40</f>
        <v>8.0848911765504614E-2</v>
      </c>
      <c r="Z49" s="32">
        <f t="shared" ref="Z49:AA49" si="29">Y49+0.005</f>
        <v>8.5848911765504618E-2</v>
      </c>
      <c r="AA49" s="32">
        <f t="shared" si="29"/>
        <v>9.0848911765504622E-2</v>
      </c>
    </row>
    <row r="50" spans="3:27" x14ac:dyDescent="0.25">
      <c r="C50" s="11" t="s">
        <v>113</v>
      </c>
      <c r="D50" s="116" t="e">
        <f ca="1">(D49-N11)/N11</f>
        <v>#DIV/0!</v>
      </c>
      <c r="U50" s="34"/>
      <c r="V50" s="35">
        <f t="shared" ref="V50:V51" si="30">V51-0.5</f>
        <v>7.9217673412850083</v>
      </c>
      <c r="W50" s="43" t="e">
        <f t="shared" ref="W50:AA50" ca="1" si="31">(W41-$D$47)/$D$47</f>
        <v>#DIV/0!</v>
      </c>
      <c r="X50" s="43" t="e">
        <f t="shared" ca="1" si="31"/>
        <v>#DIV/0!</v>
      </c>
      <c r="Y50" s="43" t="e">
        <f t="shared" ca="1" si="31"/>
        <v>#DIV/0!</v>
      </c>
      <c r="Z50" s="43" t="e">
        <f ca="1">(Z41-$D$47)/$D$47</f>
        <v>#DIV/0!</v>
      </c>
      <c r="AA50" s="43" t="e">
        <f t="shared" ca="1" si="31"/>
        <v>#DIV/0!</v>
      </c>
    </row>
    <row r="51" spans="3:27" x14ac:dyDescent="0.25">
      <c r="U51" s="36" t="s">
        <v>104</v>
      </c>
      <c r="V51" s="35">
        <f t="shared" si="30"/>
        <v>8.4217673412850083</v>
      </c>
      <c r="W51" s="43" t="e">
        <f t="shared" ref="W51:AA51" ca="1" si="32">(W42-$D$47)/$D$47</f>
        <v>#DIV/0!</v>
      </c>
      <c r="X51" s="44" t="e">
        <f t="shared" ca="1" si="32"/>
        <v>#DIV/0!</v>
      </c>
      <c r="Y51" s="44" t="e">
        <f t="shared" ca="1" si="32"/>
        <v>#DIV/0!</v>
      </c>
      <c r="Z51" s="44" t="e">
        <f t="shared" ca="1" si="32"/>
        <v>#DIV/0!</v>
      </c>
      <c r="AA51" s="43" t="e">
        <f t="shared" ca="1" si="32"/>
        <v>#DIV/0!</v>
      </c>
    </row>
    <row r="52" spans="3:27" x14ac:dyDescent="0.25">
      <c r="U52" s="36" t="s">
        <v>106</v>
      </c>
      <c r="V52" s="37">
        <f>V43</f>
        <v>8.9217673412850083</v>
      </c>
      <c r="W52" s="43" t="e">
        <f t="shared" ref="W52:X52" ca="1" si="33">(W43-$D$47)/$D$47</f>
        <v>#DIV/0!</v>
      </c>
      <c r="X52" s="44" t="e">
        <f t="shared" ca="1" si="33"/>
        <v>#DIV/0!</v>
      </c>
      <c r="Y52" s="44" t="e">
        <f ca="1">(Y43-$D$47)/$D$47</f>
        <v>#DIV/0!</v>
      </c>
      <c r="Z52" s="44" t="e">
        <f t="shared" ref="Z52:AA52" ca="1" si="34">(Z43-$D$47)/$D$47</f>
        <v>#DIV/0!</v>
      </c>
      <c r="AA52" s="43" t="e">
        <f t="shared" ca="1" si="34"/>
        <v>#DIV/0!</v>
      </c>
    </row>
    <row r="53" spans="3:27" x14ac:dyDescent="0.25">
      <c r="U53" s="36" t="s">
        <v>108</v>
      </c>
      <c r="V53" s="35">
        <f t="shared" ref="V53:V54" si="35">V52+0.5</f>
        <v>9.4217673412850083</v>
      </c>
      <c r="W53" s="43" t="e">
        <f t="shared" ref="W53:X53" ca="1" si="36">(W44-$D$47)/$D$47</f>
        <v>#DIV/0!</v>
      </c>
      <c r="X53" s="44" t="e">
        <f t="shared" ca="1" si="36"/>
        <v>#DIV/0!</v>
      </c>
      <c r="Y53" s="44" t="e">
        <f t="shared" ref="Y53:AA53" ca="1" si="37">(Y44-$D$47)/$D$47</f>
        <v>#DIV/0!</v>
      </c>
      <c r="Z53" s="44" t="e">
        <f t="shared" ca="1" si="37"/>
        <v>#DIV/0!</v>
      </c>
      <c r="AA53" s="43" t="e">
        <f t="shared" ca="1" si="37"/>
        <v>#DIV/0!</v>
      </c>
    </row>
    <row r="54" spans="3:27" x14ac:dyDescent="0.25">
      <c r="C54" s="2" t="s">
        <v>114</v>
      </c>
      <c r="D54" s="2"/>
      <c r="U54" s="38"/>
      <c r="V54" s="35">
        <f t="shared" si="35"/>
        <v>9.9217673412850083</v>
      </c>
      <c r="W54" s="43" t="e">
        <f t="shared" ref="W54:X54" ca="1" si="38">(W45-$D$47)/$D$47</f>
        <v>#DIV/0!</v>
      </c>
      <c r="X54" s="43" t="e">
        <f t="shared" ca="1" si="38"/>
        <v>#DIV/0!</v>
      </c>
      <c r="Y54" s="43" t="e">
        <f t="shared" ref="Y54:AA54" ca="1" si="39">(Y45-$D$47)/$D$47</f>
        <v>#DIV/0!</v>
      </c>
      <c r="Z54" s="43" t="e">
        <f t="shared" ca="1" si="39"/>
        <v>#DIV/0!</v>
      </c>
      <c r="AA54" s="43" t="e">
        <f t="shared" ca="1" si="39"/>
        <v>#DIV/0!</v>
      </c>
    </row>
    <row r="55" spans="3:27" x14ac:dyDescent="0.25">
      <c r="C55" t="s">
        <v>35</v>
      </c>
      <c r="D55" s="40">
        <f>N9</f>
        <v>0.02</v>
      </c>
      <c r="U55" s="26"/>
      <c r="V55" s="26"/>
      <c r="W55" s="26"/>
      <c r="X55" s="26"/>
      <c r="Y55" s="26"/>
      <c r="Z55" s="26"/>
      <c r="AA55" s="26"/>
    </row>
    <row r="56" spans="3:27" x14ac:dyDescent="0.25">
      <c r="C56" t="s">
        <v>115</v>
      </c>
      <c r="D56" s="234" t="e">
        <f ca="1">D38</f>
        <v>#DIV/0!</v>
      </c>
      <c r="U56" s="24" t="s">
        <v>116</v>
      </c>
      <c r="V56" s="25"/>
      <c r="W56" s="25"/>
      <c r="X56" s="25"/>
      <c r="Y56" s="25"/>
      <c r="Z56" s="25"/>
      <c r="AA56" s="25"/>
    </row>
    <row r="57" spans="3:27" x14ac:dyDescent="0.25">
      <c r="C57" t="s">
        <v>103</v>
      </c>
      <c r="D57" s="234" t="e">
        <f ca="1">(((N32)*(1+N9))/(I12-N9))*N33</f>
        <v>#DIV/0!</v>
      </c>
      <c r="U57" s="26"/>
      <c r="V57" s="26"/>
      <c r="W57" s="26"/>
      <c r="X57" s="26"/>
      <c r="Y57" s="26"/>
      <c r="Z57" s="26"/>
      <c r="AA57" s="26"/>
    </row>
    <row r="58" spans="3:27" x14ac:dyDescent="0.25">
      <c r="C58" s="13" t="s">
        <v>105</v>
      </c>
      <c r="D58" s="237" t="e">
        <f ca="1">D56+D57</f>
        <v>#DIV/0!</v>
      </c>
      <c r="U58" s="26"/>
      <c r="V58" s="26"/>
      <c r="W58" s="26"/>
      <c r="X58" s="26"/>
      <c r="Y58" s="27" t="s">
        <v>99</v>
      </c>
      <c r="Z58" s="26"/>
      <c r="AA58" s="26"/>
    </row>
    <row r="59" spans="3:27" x14ac:dyDescent="0.25">
      <c r="C59" t="s">
        <v>278</v>
      </c>
      <c r="D59" s="234">
        <f>WACC_Calculator!L8</f>
        <v>25711</v>
      </c>
      <c r="U59" s="26"/>
      <c r="V59" s="26"/>
      <c r="W59" s="29"/>
      <c r="X59" s="29"/>
      <c r="Y59" s="30" t="s">
        <v>46</v>
      </c>
      <c r="Z59" s="29"/>
      <c r="AA59" s="29"/>
    </row>
    <row r="60" spans="3:27" x14ac:dyDescent="0.25">
      <c r="C60" t="s">
        <v>277</v>
      </c>
      <c r="D60" s="234">
        <f>D46</f>
        <v>1005</v>
      </c>
      <c r="U60" s="26"/>
      <c r="V60" s="31">
        <f>F65</f>
        <v>0</v>
      </c>
      <c r="W60" s="32">
        <f t="shared" ref="W60:X60" si="40">X60-0.005</f>
        <v>7.0848911765504605E-2</v>
      </c>
      <c r="X60" s="32">
        <f t="shared" si="40"/>
        <v>7.5848911765504609E-2</v>
      </c>
      <c r="Y60" s="33">
        <f>Y40</f>
        <v>8.0848911765504614E-2</v>
      </c>
      <c r="Z60" s="32">
        <f t="shared" ref="Z60" si="41">Y60+0.005</f>
        <v>8.5848911765504618E-2</v>
      </c>
      <c r="AA60" s="32">
        <f>Z60+0.005</f>
        <v>9.0848911765504622E-2</v>
      </c>
    </row>
    <row r="61" spans="3:27" x14ac:dyDescent="0.25">
      <c r="C61" s="13" t="s">
        <v>99</v>
      </c>
      <c r="D61" s="237" t="e">
        <f ca="1">D58+D59-D60</f>
        <v>#DIV/0!</v>
      </c>
      <c r="U61" s="34"/>
      <c r="V61" s="41">
        <f>V62-0.005</f>
        <v>9.9999999999999985E-3</v>
      </c>
      <c r="W61" s="239" t="e">
        <f ca="1">(SUM($J$35:$N$35))+((($N$32*(1+$V61))/(W$60-$V61))*(1/((1+W$60)^(($N$16-$D$9)/365))))+$D$45-$D$46</f>
        <v>#DIV/0!</v>
      </c>
      <c r="X61" s="239" t="e">
        <f t="shared" ref="X61:AA65" ca="1" si="42">(SUM($J$35:$N$35))+((($N$32*(1+$V61))/(X$60-$V61))*(1/((1+X$60)^(($N$16-$D$9)/365))))+$D$45-$D$46</f>
        <v>#DIV/0!</v>
      </c>
      <c r="Y61" s="239" t="e">
        <f t="shared" ca="1" si="42"/>
        <v>#DIV/0!</v>
      </c>
      <c r="Z61" s="239" t="e">
        <f t="shared" ca="1" si="42"/>
        <v>#DIV/0!</v>
      </c>
      <c r="AA61" s="239" t="e">
        <f t="shared" ca="1" si="42"/>
        <v>#DIV/0!</v>
      </c>
    </row>
    <row r="62" spans="3:27" x14ac:dyDescent="0.25">
      <c r="C62" t="s">
        <v>110</v>
      </c>
      <c r="D62" s="234">
        <f>N10</f>
        <v>216.41549999999998</v>
      </c>
      <c r="U62" s="36" t="s">
        <v>117</v>
      </c>
      <c r="V62" s="41">
        <f>V63-0.005</f>
        <v>1.4999999999999999E-2</v>
      </c>
      <c r="W62" s="239" t="e">
        <f t="shared" ref="W62:W65" ca="1" si="43">(SUM($J$35:$N$35))+((($N$32*(1+$V62))/(W$60-$V62))*(1/((1+W$60)^(($N$16-$D$9)/365))))+$D$45-$D$46</f>
        <v>#DIV/0!</v>
      </c>
      <c r="X62" s="240" t="e">
        <f t="shared" ca="1" si="42"/>
        <v>#DIV/0!</v>
      </c>
      <c r="Y62" s="240" t="e">
        <f t="shared" ca="1" si="42"/>
        <v>#DIV/0!</v>
      </c>
      <c r="Z62" s="240" t="e">
        <f t="shared" ca="1" si="42"/>
        <v>#DIV/0!</v>
      </c>
      <c r="AA62" s="239" t="e">
        <f t="shared" ca="1" si="42"/>
        <v>#DIV/0!</v>
      </c>
    </row>
    <row r="63" spans="3:27" x14ac:dyDescent="0.25">
      <c r="C63" s="18" t="s">
        <v>112</v>
      </c>
      <c r="D63" s="360" t="e">
        <f ca="1">D61/D62</f>
        <v>#DIV/0!</v>
      </c>
      <c r="U63" s="36" t="s">
        <v>118</v>
      </c>
      <c r="V63" s="42">
        <f>N9</f>
        <v>0.02</v>
      </c>
      <c r="W63" s="239" t="e">
        <f t="shared" ca="1" si="43"/>
        <v>#DIV/0!</v>
      </c>
      <c r="X63" s="240" t="e">
        <f t="shared" ca="1" si="42"/>
        <v>#DIV/0!</v>
      </c>
      <c r="Y63" s="240" t="e">
        <f t="shared" ca="1" si="42"/>
        <v>#DIV/0!</v>
      </c>
      <c r="Z63" s="240" t="e">
        <f t="shared" ca="1" si="42"/>
        <v>#DIV/0!</v>
      </c>
      <c r="AA63" s="239" t="e">
        <f t="shared" ca="1" si="42"/>
        <v>#DIV/0!</v>
      </c>
    </row>
    <row r="64" spans="3:27" x14ac:dyDescent="0.25">
      <c r="C64" s="11" t="s">
        <v>113</v>
      </c>
      <c r="D64" s="116" t="e">
        <f ca="1">(D63-N11)/N11</f>
        <v>#DIV/0!</v>
      </c>
      <c r="U64" s="36" t="s">
        <v>119</v>
      </c>
      <c r="V64" s="41">
        <f>V63+0.005</f>
        <v>2.5000000000000001E-2</v>
      </c>
      <c r="W64" s="239" t="e">
        <f t="shared" ca="1" si="43"/>
        <v>#DIV/0!</v>
      </c>
      <c r="X64" s="240" t="e">
        <f t="shared" ca="1" si="42"/>
        <v>#DIV/0!</v>
      </c>
      <c r="Y64" s="240" t="e">
        <f t="shared" ca="1" si="42"/>
        <v>#DIV/0!</v>
      </c>
      <c r="Z64" s="240" t="e">
        <f t="shared" ca="1" si="42"/>
        <v>#DIV/0!</v>
      </c>
      <c r="AA64" s="239" t="e">
        <f t="shared" ca="1" si="42"/>
        <v>#DIV/0!</v>
      </c>
    </row>
    <row r="65" spans="21:27" x14ac:dyDescent="0.25">
      <c r="U65" s="38"/>
      <c r="V65" s="41">
        <f>V64+0.005</f>
        <v>3.0000000000000002E-2</v>
      </c>
      <c r="W65" s="239" t="e">
        <f t="shared" ca="1" si="43"/>
        <v>#DIV/0!</v>
      </c>
      <c r="X65" s="239" t="e">
        <f t="shared" ca="1" si="42"/>
        <v>#DIV/0!</v>
      </c>
      <c r="Y65" s="239" t="e">
        <f t="shared" ca="1" si="42"/>
        <v>#DIV/0!</v>
      </c>
      <c r="Z65" s="239" t="e">
        <f t="shared" ca="1" si="42"/>
        <v>#DIV/0!</v>
      </c>
      <c r="AA65" s="239" t="e">
        <f t="shared" ca="1" si="42"/>
        <v>#DIV/0!</v>
      </c>
    </row>
    <row r="66" spans="21:27" x14ac:dyDescent="0.25">
      <c r="U66" s="26"/>
      <c r="V66" s="26"/>
      <c r="W66" s="26"/>
      <c r="X66" s="26"/>
      <c r="Y66" s="26"/>
      <c r="Z66" s="26"/>
      <c r="AA66" s="26"/>
    </row>
    <row r="67" spans="21:27" x14ac:dyDescent="0.25">
      <c r="U67" s="26"/>
      <c r="V67" s="26"/>
      <c r="W67" s="26"/>
      <c r="X67" s="26"/>
      <c r="Y67" s="27" t="s">
        <v>111</v>
      </c>
      <c r="Z67" s="26"/>
      <c r="AA67" s="26"/>
    </row>
    <row r="68" spans="21:27" x14ac:dyDescent="0.25">
      <c r="U68" s="26"/>
      <c r="V68" s="26"/>
      <c r="W68" s="29"/>
      <c r="X68" s="29"/>
      <c r="Y68" s="30" t="s">
        <v>46</v>
      </c>
      <c r="Z68" s="29"/>
      <c r="AA68" s="29"/>
    </row>
    <row r="69" spans="21:27" x14ac:dyDescent="0.25">
      <c r="U69" s="26"/>
      <c r="V69" s="31">
        <f>F71</f>
        <v>0</v>
      </c>
      <c r="W69" s="32">
        <f t="shared" ref="W69:X69" si="44">X69-0.005</f>
        <v>7.0848911765504605E-2</v>
      </c>
      <c r="X69" s="32">
        <f t="shared" si="44"/>
        <v>7.5848911765504609E-2</v>
      </c>
      <c r="Y69" s="33">
        <f>Y40</f>
        <v>8.0848911765504614E-2</v>
      </c>
      <c r="Z69" s="32">
        <f t="shared" ref="Z69:AA69" si="45">Y69+0.005</f>
        <v>8.5848911765504618E-2</v>
      </c>
      <c r="AA69" s="32">
        <f t="shared" si="45"/>
        <v>9.0848911765504622E-2</v>
      </c>
    </row>
    <row r="70" spans="21:27" x14ac:dyDescent="0.25">
      <c r="U70" s="34"/>
      <c r="V70" s="41">
        <f>V71-0.005</f>
        <v>9.9999999999999985E-3</v>
      </c>
      <c r="W70" s="43" t="e">
        <f t="shared" ref="W70:X70" ca="1" si="46">(W61-$D$61)/$D$61</f>
        <v>#DIV/0!</v>
      </c>
      <c r="X70" s="43" t="e">
        <f t="shared" ca="1" si="46"/>
        <v>#DIV/0!</v>
      </c>
      <c r="Y70" s="43" t="e">
        <f t="shared" ref="Y70:AA70" ca="1" si="47">(Y61-$D$61)/$D$61</f>
        <v>#DIV/0!</v>
      </c>
      <c r="Z70" s="43" t="e">
        <f t="shared" ca="1" si="47"/>
        <v>#DIV/0!</v>
      </c>
      <c r="AA70" s="43" t="e">
        <f t="shared" ca="1" si="47"/>
        <v>#DIV/0!</v>
      </c>
    </row>
    <row r="71" spans="21:27" x14ac:dyDescent="0.25">
      <c r="U71" s="36" t="s">
        <v>117</v>
      </c>
      <c r="V71" s="41">
        <f>V72-0.005</f>
        <v>1.4999999999999999E-2</v>
      </c>
      <c r="W71" s="43" t="e">
        <f t="shared" ref="W71:X71" ca="1" si="48">(W62-$D$61)/$D$61</f>
        <v>#DIV/0!</v>
      </c>
      <c r="X71" s="44" t="e">
        <f t="shared" ca="1" si="48"/>
        <v>#DIV/0!</v>
      </c>
      <c r="Y71" s="44" t="e">
        <f t="shared" ref="Y71:AA71" ca="1" si="49">(Y62-$D$61)/$D$61</f>
        <v>#DIV/0!</v>
      </c>
      <c r="Z71" s="44" t="e">
        <f t="shared" ca="1" si="49"/>
        <v>#DIV/0!</v>
      </c>
      <c r="AA71" s="43" t="e">
        <f t="shared" ca="1" si="49"/>
        <v>#DIV/0!</v>
      </c>
    </row>
    <row r="72" spans="21:27" x14ac:dyDescent="0.25">
      <c r="U72" s="36" t="s">
        <v>118</v>
      </c>
      <c r="V72" s="42">
        <f>V63</f>
        <v>0.02</v>
      </c>
      <c r="W72" s="43" t="e">
        <f t="shared" ref="W72" ca="1" si="50">(W63-$D$61)/$D$61</f>
        <v>#DIV/0!</v>
      </c>
      <c r="X72" s="44" t="e">
        <f ca="1">(X63-$D$61)/$D$61</f>
        <v>#DIV/0!</v>
      </c>
      <c r="Y72" s="44" t="e">
        <f ca="1">(Y63-$D$61)/$D$61</f>
        <v>#DIV/0!</v>
      </c>
      <c r="Z72" s="44" t="e">
        <f t="shared" ref="Z72" ca="1" si="51">(Z63-$D$61)/$D$61</f>
        <v>#DIV/0!</v>
      </c>
      <c r="AA72" s="43" t="e">
        <f ca="1">(AA63-$D$61)/$D$61</f>
        <v>#DIV/0!</v>
      </c>
    </row>
    <row r="73" spans="21:27" x14ac:dyDescent="0.25">
      <c r="U73" s="36" t="s">
        <v>119</v>
      </c>
      <c r="V73" s="41">
        <f>V72+0.005</f>
        <v>2.5000000000000001E-2</v>
      </c>
      <c r="W73" s="43" t="e">
        <f t="shared" ref="W73:X73" ca="1" si="52">(W64-$D$61)/$D$61</f>
        <v>#DIV/0!</v>
      </c>
      <c r="X73" s="44" t="e">
        <f t="shared" ca="1" si="52"/>
        <v>#DIV/0!</v>
      </c>
      <c r="Y73" s="44" t="e">
        <f t="shared" ref="Y73:AA73" ca="1" si="53">(Y64-$D$61)/$D$61</f>
        <v>#DIV/0!</v>
      </c>
      <c r="Z73" s="44" t="e">
        <f t="shared" ca="1" si="53"/>
        <v>#DIV/0!</v>
      </c>
      <c r="AA73" s="43" t="e">
        <f t="shared" ca="1" si="53"/>
        <v>#DIV/0!</v>
      </c>
    </row>
    <row r="74" spans="21:27" x14ac:dyDescent="0.25">
      <c r="U74" s="38"/>
      <c r="V74" s="41">
        <f>V73+0.005</f>
        <v>3.0000000000000002E-2</v>
      </c>
      <c r="W74" s="43" t="e">
        <f t="shared" ref="W74:X74" ca="1" si="54">(W65-$D$61)/$D$61</f>
        <v>#DIV/0!</v>
      </c>
      <c r="X74" s="43" t="e">
        <f t="shared" ca="1" si="54"/>
        <v>#DIV/0!</v>
      </c>
      <c r="Y74" s="43" t="e">
        <f t="shared" ref="Y74:AA74" ca="1" si="55">(Y65-$D$61)/$D$61</f>
        <v>#DIV/0!</v>
      </c>
      <c r="Z74" s="43" t="e">
        <f t="shared" ca="1" si="55"/>
        <v>#DIV/0!</v>
      </c>
      <c r="AA74" s="43" t="e">
        <f t="shared" ca="1" si="55"/>
        <v>#DIV/0!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BacktoHub">
                <anchor moveWithCells="1" sizeWithCells="1">
                  <from>
                    <xdr:col>10</xdr:col>
                    <xdr:colOff>85725</xdr:colOff>
                    <xdr:row>2</xdr:row>
                    <xdr:rowOff>114300</xdr:rowOff>
                  </from>
                  <to>
                    <xdr:col>11</xdr:col>
                    <xdr:colOff>628650</xdr:colOff>
                    <xdr:row>5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24EEE9-691A-4DFD-85CB-9CD8C31D1D0B}">
  <sheetPr codeName="Sheet16"/>
  <dimension ref="B2:N62"/>
  <sheetViews>
    <sheetView workbookViewId="0">
      <selection activeCell="N13" sqref="N13"/>
    </sheetView>
  </sheetViews>
  <sheetFormatPr defaultRowHeight="15" x14ac:dyDescent="0.25"/>
  <cols>
    <col min="2" max="2" width="21.7109375" customWidth="1"/>
    <col min="3" max="3" width="16.28515625" bestFit="1" customWidth="1"/>
    <col min="4" max="4" width="14" bestFit="1" customWidth="1"/>
    <col min="5" max="6" width="13.42578125" bestFit="1" customWidth="1"/>
    <col min="7" max="7" width="13.7109375" bestFit="1" customWidth="1"/>
    <col min="8" max="13" width="13.42578125" bestFit="1" customWidth="1"/>
    <col min="14" max="14" width="14.140625" bestFit="1" customWidth="1"/>
  </cols>
  <sheetData>
    <row r="2" spans="2:14" ht="15.75" thickBot="1" x14ac:dyDescent="0.3">
      <c r="B2" s="6" t="str">
        <f>DCF!C2</f>
        <v>CAESARS ENTERTAINMENT INC</v>
      </c>
      <c r="C2" s="6" t="s">
        <v>294</v>
      </c>
      <c r="D2" s="19"/>
      <c r="E2" s="19"/>
      <c r="F2" s="19"/>
      <c r="G2" s="19"/>
      <c r="H2" s="19"/>
      <c r="I2" s="19"/>
      <c r="J2" s="19"/>
      <c r="K2" s="19"/>
      <c r="L2" s="19"/>
      <c r="M2" s="19"/>
      <c r="N2" s="19"/>
    </row>
    <row r="3" spans="2:14" ht="15.75" thickTop="1" x14ac:dyDescent="0.25">
      <c r="B3" t="str">
        <f>DCF!C3</f>
        <v>All Figures in USD Millions, expect for per share data</v>
      </c>
    </row>
    <row r="4" spans="2:14" x14ac:dyDescent="0.25">
      <c r="B4" t="s">
        <v>74</v>
      </c>
    </row>
    <row r="6" spans="2:14" x14ac:dyDescent="0.25">
      <c r="D6" s="1"/>
      <c r="E6" s="1"/>
      <c r="F6" s="1"/>
      <c r="G6" s="1"/>
      <c r="H6" s="2" t="s">
        <v>253</v>
      </c>
      <c r="I6" s="1"/>
      <c r="J6" s="1"/>
      <c r="K6" s="1"/>
      <c r="L6" s="1"/>
      <c r="M6" s="1"/>
      <c r="N6" s="1"/>
    </row>
    <row r="8" spans="2:14" x14ac:dyDescent="0.25">
      <c r="D8" t="s">
        <v>254</v>
      </c>
      <c r="G8" s="155">
        <f>DCF!N11</f>
        <v>36.869999999999997</v>
      </c>
      <c r="K8" t="s">
        <v>262</v>
      </c>
      <c r="N8" s="156">
        <f ca="1">DATE(YEAR(D35)+Hub!T31,MONTH(D35),DAY(D35))</f>
        <v>45291</v>
      </c>
    </row>
    <row r="9" spans="2:14" x14ac:dyDescent="0.25">
      <c r="D9" t="s">
        <v>255</v>
      </c>
      <c r="G9" s="234">
        <f>DCF!N10</f>
        <v>216.41549999999998</v>
      </c>
      <c r="K9" t="s">
        <v>259</v>
      </c>
      <c r="N9" s="349">
        <f>Hub!T30</f>
        <v>0</v>
      </c>
    </row>
    <row r="11" spans="2:14" x14ac:dyDescent="0.25">
      <c r="D11" t="s">
        <v>245</v>
      </c>
      <c r="G11" s="351">
        <f>Hub!T29</f>
        <v>0</v>
      </c>
      <c r="K11" t="s">
        <v>247</v>
      </c>
      <c r="N11" s="350">
        <f>Hub!T32</f>
        <v>0</v>
      </c>
    </row>
    <row r="12" spans="2:14" x14ac:dyDescent="0.25">
      <c r="K12" t="s">
        <v>248</v>
      </c>
      <c r="N12" s="350">
        <f>Hub!T33</f>
        <v>0</v>
      </c>
    </row>
    <row r="13" spans="2:14" x14ac:dyDescent="0.25">
      <c r="D13" s="10" t="s">
        <v>256</v>
      </c>
      <c r="G13" s="234">
        <f>G8*G9*(1+G11)</f>
        <v>7979.2394849999991</v>
      </c>
      <c r="K13" t="s">
        <v>249</v>
      </c>
      <c r="N13" s="234">
        <f>Hub!T34</f>
        <v>0</v>
      </c>
    </row>
    <row r="14" spans="2:14" x14ac:dyDescent="0.25">
      <c r="D14" t="s">
        <v>277</v>
      </c>
      <c r="G14" s="234">
        <f>Net_Working_Capital!I8</f>
        <v>1005</v>
      </c>
    </row>
    <row r="15" spans="2:14" x14ac:dyDescent="0.25">
      <c r="D15" t="s">
        <v>278</v>
      </c>
      <c r="G15" s="234">
        <f>Debt_Schedule!AD41</f>
        <v>25711</v>
      </c>
      <c r="K15" t="s">
        <v>250</v>
      </c>
      <c r="N15" s="234">
        <f>Hub!T35</f>
        <v>0</v>
      </c>
    </row>
    <row r="16" spans="2:14" x14ac:dyDescent="0.25">
      <c r="D16" s="21" t="s">
        <v>257</v>
      </c>
      <c r="E16" s="21"/>
      <c r="F16" s="21"/>
      <c r="G16" s="348">
        <f>G13-G14+G15</f>
        <v>32685.239484999998</v>
      </c>
      <c r="K16" t="s">
        <v>261</v>
      </c>
      <c r="N16" s="234">
        <f>DCF!I23*N15</f>
        <v>0</v>
      </c>
    </row>
    <row r="17" spans="4:14" x14ac:dyDescent="0.25">
      <c r="K17" t="s">
        <v>260</v>
      </c>
      <c r="N17" s="350">
        <f>Hub!H22+Hub!T36</f>
        <v>4.1673549999999997E-2</v>
      </c>
    </row>
    <row r="18" spans="4:14" x14ac:dyDescent="0.25">
      <c r="D18" t="s">
        <v>258</v>
      </c>
      <c r="G18" s="234">
        <f>G16/DCF!I23</f>
        <v>3.6192270496069092</v>
      </c>
    </row>
    <row r="20" spans="4:14" x14ac:dyDescent="0.25">
      <c r="D20" s="1"/>
      <c r="E20" s="1"/>
      <c r="F20" s="1"/>
      <c r="G20" s="1"/>
      <c r="H20" s="1"/>
      <c r="I20" s="2" t="s">
        <v>264</v>
      </c>
      <c r="J20" s="1"/>
      <c r="K20" s="1"/>
      <c r="L20" s="1"/>
      <c r="M20" s="1"/>
      <c r="N20" s="1"/>
    </row>
    <row r="22" spans="4:14" x14ac:dyDescent="0.25">
      <c r="D22" s="122"/>
      <c r="E22" s="3" t="s">
        <v>266</v>
      </c>
      <c r="F22" s="122"/>
      <c r="G22" s="122"/>
      <c r="K22" s="122"/>
      <c r="L22" s="3" t="s">
        <v>265</v>
      </c>
      <c r="M22" s="122"/>
      <c r="N22" s="122"/>
    </row>
    <row r="24" spans="4:14" x14ac:dyDescent="0.25">
      <c r="D24" t="s">
        <v>267</v>
      </c>
      <c r="G24" s="234">
        <f>N16</f>
        <v>0</v>
      </c>
      <c r="K24" t="s">
        <v>270</v>
      </c>
      <c r="N24" s="234">
        <f>G15</f>
        <v>25711</v>
      </c>
    </row>
    <row r="25" spans="4:14" x14ac:dyDescent="0.25">
      <c r="D25" t="s">
        <v>268</v>
      </c>
      <c r="G25" s="234">
        <f>G14</f>
        <v>1005</v>
      </c>
      <c r="K25" t="s">
        <v>271</v>
      </c>
      <c r="N25" s="234">
        <f>(G16*N11)+(N16*N12)+N13</f>
        <v>0</v>
      </c>
    </row>
    <row r="26" spans="4:14" x14ac:dyDescent="0.25">
      <c r="D26" t="s">
        <v>269</v>
      </c>
      <c r="G26" s="234">
        <f>N28-G24-G25</f>
        <v>32685.239484999998</v>
      </c>
      <c r="K26" t="s">
        <v>273</v>
      </c>
      <c r="N26" s="234">
        <f>G13</f>
        <v>7979.2394849999991</v>
      </c>
    </row>
    <row r="27" spans="4:14" x14ac:dyDescent="0.25">
      <c r="G27" s="130"/>
      <c r="K27" t="s">
        <v>272</v>
      </c>
      <c r="N27" s="234">
        <f>N9*DCF!I23</f>
        <v>0</v>
      </c>
    </row>
    <row r="28" spans="4:14" x14ac:dyDescent="0.25">
      <c r="D28" s="12" t="s">
        <v>274</v>
      </c>
      <c r="E28" s="21"/>
      <c r="F28" s="21"/>
      <c r="G28" s="348">
        <f>SUM(G24:G26)</f>
        <v>33690.239484999998</v>
      </c>
      <c r="K28" s="12" t="s">
        <v>275</v>
      </c>
      <c r="L28" s="21"/>
      <c r="M28" s="21"/>
      <c r="N28" s="348">
        <f>SUM(N24:N27)</f>
        <v>33690.239484999998</v>
      </c>
    </row>
    <row r="33" spans="2:14" x14ac:dyDescent="0.25">
      <c r="D33" s="146" t="s">
        <v>276</v>
      </c>
      <c r="E33" s="4"/>
      <c r="F33" s="3"/>
      <c r="G33" s="3"/>
      <c r="H33" s="3"/>
      <c r="I33" s="3" t="s">
        <v>81</v>
      </c>
      <c r="J33" s="3"/>
      <c r="K33" s="3"/>
      <c r="L33" s="3"/>
      <c r="M33" s="3"/>
      <c r="N33" s="3"/>
    </row>
    <row r="34" spans="2:14" x14ac:dyDescent="0.25">
      <c r="D34" s="7">
        <f ca="1">YEAR(D35)</f>
        <v>2023</v>
      </c>
      <c r="E34" s="8">
        <f ca="1">YEAR(E35)</f>
        <v>2024</v>
      </c>
      <c r="F34" s="8">
        <f t="shared" ref="F34:N34" ca="1" si="0">YEAR(F35)</f>
        <v>2025</v>
      </c>
      <c r="G34" s="8">
        <f t="shared" ca="1" si="0"/>
        <v>2026</v>
      </c>
      <c r="H34" s="8">
        <f t="shared" ca="1" si="0"/>
        <v>2027</v>
      </c>
      <c r="I34" s="8">
        <f t="shared" ca="1" si="0"/>
        <v>2028</v>
      </c>
      <c r="J34" s="8">
        <f t="shared" ca="1" si="0"/>
        <v>2029</v>
      </c>
      <c r="K34" s="8">
        <f t="shared" ca="1" si="0"/>
        <v>2030</v>
      </c>
      <c r="L34" s="8">
        <f t="shared" ca="1" si="0"/>
        <v>2031</v>
      </c>
      <c r="M34" s="8">
        <f t="shared" ca="1" si="0"/>
        <v>2032</v>
      </c>
      <c r="N34" s="8">
        <f t="shared" ca="1" si="0"/>
        <v>2033</v>
      </c>
    </row>
    <row r="35" spans="2:14" x14ac:dyDescent="0.25">
      <c r="D35" s="9">
        <f ca="1">DCF!D10</f>
        <v>45291</v>
      </c>
      <c r="E35" s="9">
        <f ca="1">EOMONTH(D35,12)</f>
        <v>45657</v>
      </c>
      <c r="F35" s="9">
        <f t="shared" ref="F35:I35" ca="1" si="1">EOMONTH(E35,12)</f>
        <v>46022</v>
      </c>
      <c r="G35" s="9">
        <f t="shared" ca="1" si="1"/>
        <v>46387</v>
      </c>
      <c r="H35" s="9">
        <f t="shared" ca="1" si="1"/>
        <v>46752</v>
      </c>
      <c r="I35" s="9">
        <f t="shared" ca="1" si="1"/>
        <v>47118</v>
      </c>
      <c r="J35" s="9">
        <f t="shared" ref="J35" ca="1" si="2">EOMONTH(I35,12)</f>
        <v>47483</v>
      </c>
      <c r="K35" s="9">
        <f t="shared" ref="K35" ca="1" si="3">EOMONTH(J35,12)</f>
        <v>47848</v>
      </c>
      <c r="L35" s="9">
        <f t="shared" ref="L35" ca="1" si="4">EOMONTH(K35,12)</f>
        <v>48213</v>
      </c>
      <c r="M35" s="9">
        <f t="shared" ref="M35:N35" ca="1" si="5">EOMONTH(L35,12)</f>
        <v>48579</v>
      </c>
      <c r="N35" s="9">
        <f t="shared" ca="1" si="5"/>
        <v>48944</v>
      </c>
    </row>
    <row r="36" spans="2:14" x14ac:dyDescent="0.25">
      <c r="D36" s="9"/>
      <c r="E36" s="9"/>
      <c r="F36" s="9"/>
      <c r="G36" s="9"/>
      <c r="H36" s="9"/>
      <c r="I36" s="9"/>
      <c r="J36" s="9"/>
      <c r="K36" s="9"/>
      <c r="L36" s="9"/>
      <c r="M36" s="9"/>
      <c r="N36" s="9"/>
    </row>
    <row r="37" spans="2:14" x14ac:dyDescent="0.25">
      <c r="B37" s="101" t="s">
        <v>288</v>
      </c>
      <c r="C37" s="101"/>
      <c r="D37" s="248">
        <f>DCF!I23</f>
        <v>9031</v>
      </c>
      <c r="E37" s="248" t="e">
        <f ca="1">DCF!J23</f>
        <v>#DIV/0!</v>
      </c>
      <c r="F37" s="248" t="e">
        <f ca="1">DCF!K23</f>
        <v>#DIV/0!</v>
      </c>
      <c r="G37" s="248" t="e">
        <f ca="1">DCF!L23</f>
        <v>#DIV/0!</v>
      </c>
      <c r="H37" s="248" t="e">
        <f ca="1">DCF!M23</f>
        <v>#DIV/0!</v>
      </c>
      <c r="I37" s="248" t="e">
        <f ca="1">DCF!N23</f>
        <v>#DIV/0!</v>
      </c>
      <c r="J37" s="248" t="e">
        <f ca="1">DCF!O23</f>
        <v>#DIV/0!</v>
      </c>
      <c r="K37" s="248" t="e">
        <f ca="1">DCF!P23</f>
        <v>#DIV/0!</v>
      </c>
      <c r="L37" s="248" t="e">
        <f ca="1">DCF!Q23</f>
        <v>#DIV/0!</v>
      </c>
      <c r="M37" s="248" t="e">
        <f ca="1">DCF!R23</f>
        <v>#DIV/0!</v>
      </c>
      <c r="N37" s="248" t="e">
        <f ca="1">DCF!S23</f>
        <v>#DIV/0!</v>
      </c>
    </row>
    <row r="39" spans="2:14" x14ac:dyDescent="0.25">
      <c r="B39" s="13" t="s">
        <v>93</v>
      </c>
      <c r="C39" s="13"/>
      <c r="D39" s="237">
        <f>DCF!I32</f>
        <v>8426.7800000000007</v>
      </c>
      <c r="E39" s="237" t="e">
        <f ca="1">DCF!J32</f>
        <v>#DIV/0!</v>
      </c>
      <c r="F39" s="237" t="e">
        <f ca="1">DCF!K32</f>
        <v>#DIV/0!</v>
      </c>
      <c r="G39" s="237" t="e">
        <f ca="1">DCF!L32</f>
        <v>#DIV/0!</v>
      </c>
      <c r="H39" s="237" t="e">
        <f ca="1">DCF!M32</f>
        <v>#DIV/0!</v>
      </c>
      <c r="I39" s="237" t="e">
        <f ca="1">DCF!N32</f>
        <v>#DIV/0!</v>
      </c>
      <c r="J39" s="237" t="e">
        <f ca="1">DCF!O32</f>
        <v>#DIV/0!</v>
      </c>
      <c r="K39" s="237" t="e">
        <f ca="1">DCF!P32</f>
        <v>#DIV/0!</v>
      </c>
      <c r="L39" s="237" t="e">
        <f ca="1">DCF!Q32</f>
        <v>#DIV/0!</v>
      </c>
      <c r="M39" s="237" t="e">
        <f ca="1">DCF!R32</f>
        <v>#DIV/0!</v>
      </c>
      <c r="N39" s="237" t="e">
        <f ca="1">DCF!S32</f>
        <v>#DIV/0!</v>
      </c>
    </row>
    <row r="41" spans="2:14" x14ac:dyDescent="0.25">
      <c r="B41" t="s">
        <v>279</v>
      </c>
      <c r="D41" s="258" t="s">
        <v>85</v>
      </c>
      <c r="E41" s="234">
        <f>D46</f>
        <v>0</v>
      </c>
      <c r="F41" s="234" t="e">
        <f t="shared" ref="F41:N41" ca="1" si="6">E46</f>
        <v>#DIV/0!</v>
      </c>
      <c r="G41" s="234" t="e">
        <f t="shared" ca="1" si="6"/>
        <v>#DIV/0!</v>
      </c>
      <c r="H41" s="234" t="e">
        <f t="shared" ca="1" si="6"/>
        <v>#DIV/0!</v>
      </c>
      <c r="I41" s="234" t="e">
        <f t="shared" ca="1" si="6"/>
        <v>#DIV/0!</v>
      </c>
      <c r="J41" s="234" t="e">
        <f t="shared" ca="1" si="6"/>
        <v>#DIV/0!</v>
      </c>
      <c r="K41" s="234" t="e">
        <f t="shared" ca="1" si="6"/>
        <v>#DIV/0!</v>
      </c>
      <c r="L41" s="234" t="e">
        <f t="shared" ca="1" si="6"/>
        <v>#DIV/0!</v>
      </c>
      <c r="M41" s="234" t="e">
        <f t="shared" ca="1" si="6"/>
        <v>#DIV/0!</v>
      </c>
      <c r="N41" s="234" t="e">
        <f t="shared" ca="1" si="6"/>
        <v>#DIV/0!</v>
      </c>
    </row>
    <row r="42" spans="2:14" x14ac:dyDescent="0.25">
      <c r="B42" t="s">
        <v>280</v>
      </c>
      <c r="D42" s="258" t="s">
        <v>85</v>
      </c>
      <c r="E42" s="234" t="e">
        <f ca="1">N9*E37</f>
        <v>#DIV/0!</v>
      </c>
      <c r="F42" s="234" t="e">
        <f t="shared" ref="F42:N42" ca="1" si="7">O9*F37</f>
        <v>#DIV/0!</v>
      </c>
      <c r="G42" s="234" t="e">
        <f t="shared" ca="1" si="7"/>
        <v>#DIV/0!</v>
      </c>
      <c r="H42" s="234" t="e">
        <f t="shared" ca="1" si="7"/>
        <v>#DIV/0!</v>
      </c>
      <c r="I42" s="234" t="e">
        <f t="shared" ca="1" si="7"/>
        <v>#DIV/0!</v>
      </c>
      <c r="J42" s="234" t="e">
        <f t="shared" ca="1" si="7"/>
        <v>#DIV/0!</v>
      </c>
      <c r="K42" s="234" t="e">
        <f t="shared" ca="1" si="7"/>
        <v>#DIV/0!</v>
      </c>
      <c r="L42" s="234" t="e">
        <f t="shared" ca="1" si="7"/>
        <v>#DIV/0!</v>
      </c>
      <c r="M42" s="234" t="e">
        <f t="shared" ca="1" si="7"/>
        <v>#DIV/0!</v>
      </c>
      <c r="N42" s="234" t="e">
        <f t="shared" ca="1" si="7"/>
        <v>#DIV/0!</v>
      </c>
    </row>
    <row r="43" spans="2:14" x14ac:dyDescent="0.25">
      <c r="B43" s="101" t="s">
        <v>281</v>
      </c>
      <c r="C43" s="105"/>
      <c r="D43" s="243"/>
      <c r="E43" s="243" t="e">
        <f ca="1">E39+E41-E42</f>
        <v>#DIV/0!</v>
      </c>
      <c r="F43" s="243" t="e">
        <f t="shared" ref="F43:N43" ca="1" si="8">F39+F41-F42</f>
        <v>#DIV/0!</v>
      </c>
      <c r="G43" s="243" t="e">
        <f t="shared" ca="1" si="8"/>
        <v>#DIV/0!</v>
      </c>
      <c r="H43" s="243" t="e">
        <f t="shared" ca="1" si="8"/>
        <v>#DIV/0!</v>
      </c>
      <c r="I43" s="243" t="e">
        <f t="shared" ca="1" si="8"/>
        <v>#DIV/0!</v>
      </c>
      <c r="J43" s="243" t="e">
        <f t="shared" ca="1" si="8"/>
        <v>#DIV/0!</v>
      </c>
      <c r="K43" s="243" t="e">
        <f t="shared" ca="1" si="8"/>
        <v>#DIV/0!</v>
      </c>
      <c r="L43" s="243" t="e">
        <f t="shared" ca="1" si="8"/>
        <v>#DIV/0!</v>
      </c>
      <c r="M43" s="243" t="e">
        <f t="shared" ca="1" si="8"/>
        <v>#DIV/0!</v>
      </c>
      <c r="N43" s="243" t="e">
        <f t="shared" ca="1" si="8"/>
        <v>#DIV/0!</v>
      </c>
    </row>
    <row r="45" spans="2:14" x14ac:dyDescent="0.25">
      <c r="B45" t="s">
        <v>282</v>
      </c>
      <c r="D45" s="234">
        <f>N16</f>
        <v>0</v>
      </c>
      <c r="E45" s="234" t="e">
        <f ca="1">D45-E43</f>
        <v>#DIV/0!</v>
      </c>
      <c r="F45" s="234" t="e">
        <f t="shared" ref="F45:N45" ca="1" si="9">E45-F43</f>
        <v>#DIV/0!</v>
      </c>
      <c r="G45" s="234" t="e">
        <f t="shared" ca="1" si="9"/>
        <v>#DIV/0!</v>
      </c>
      <c r="H45" s="234" t="e">
        <f t="shared" ca="1" si="9"/>
        <v>#DIV/0!</v>
      </c>
      <c r="I45" s="234" t="e">
        <f t="shared" ca="1" si="9"/>
        <v>#DIV/0!</v>
      </c>
      <c r="J45" s="234" t="e">
        <f t="shared" ca="1" si="9"/>
        <v>#DIV/0!</v>
      </c>
      <c r="K45" s="234" t="e">
        <f t="shared" ca="1" si="9"/>
        <v>#DIV/0!</v>
      </c>
      <c r="L45" s="234" t="e">
        <f t="shared" ca="1" si="9"/>
        <v>#DIV/0!</v>
      </c>
      <c r="M45" s="234" t="e">
        <f t="shared" ca="1" si="9"/>
        <v>#DIV/0!</v>
      </c>
      <c r="N45" s="234" t="e">
        <f t="shared" ca="1" si="9"/>
        <v>#DIV/0!</v>
      </c>
    </row>
    <row r="46" spans="2:14" x14ac:dyDescent="0.25">
      <c r="B46" t="s">
        <v>283</v>
      </c>
      <c r="D46" s="234">
        <f>N27</f>
        <v>0</v>
      </c>
      <c r="E46" s="234" t="e">
        <f ca="1">D46+E39+(E45-D45)</f>
        <v>#DIV/0!</v>
      </c>
      <c r="F46" s="234" t="e">
        <f t="shared" ref="F46:N46" ca="1" si="10">E46+F39+(F45-E45)</f>
        <v>#DIV/0!</v>
      </c>
      <c r="G46" s="234" t="e">
        <f t="shared" ca="1" si="10"/>
        <v>#DIV/0!</v>
      </c>
      <c r="H46" s="234" t="e">
        <f t="shared" ca="1" si="10"/>
        <v>#DIV/0!</v>
      </c>
      <c r="I46" s="234" t="e">
        <f t="shared" ca="1" si="10"/>
        <v>#DIV/0!</v>
      </c>
      <c r="J46" s="234" t="e">
        <f t="shared" ca="1" si="10"/>
        <v>#DIV/0!</v>
      </c>
      <c r="K46" s="234" t="e">
        <f t="shared" ca="1" si="10"/>
        <v>#DIV/0!</v>
      </c>
      <c r="L46" s="234" t="e">
        <f t="shared" ca="1" si="10"/>
        <v>#DIV/0!</v>
      </c>
      <c r="M46" s="234" t="e">
        <f t="shared" ca="1" si="10"/>
        <v>#DIV/0!</v>
      </c>
      <c r="N46" s="234" t="e">
        <f t="shared" ca="1" si="10"/>
        <v>#DIV/0!</v>
      </c>
    </row>
    <row r="47" spans="2:14" x14ac:dyDescent="0.25">
      <c r="B47" t="s">
        <v>284</v>
      </c>
      <c r="D47" s="234">
        <f>G26</f>
        <v>32685.239484999998</v>
      </c>
      <c r="E47" s="234" t="e">
        <f ca="1">D47+Operating_Model!J160</f>
        <v>#DIV/0!</v>
      </c>
      <c r="F47" s="234" t="e">
        <f ca="1">E47+Operating_Model!K160</f>
        <v>#DIV/0!</v>
      </c>
      <c r="G47" s="234" t="e">
        <f ca="1">F47+Operating_Model!L160</f>
        <v>#DIV/0!</v>
      </c>
      <c r="H47" s="234" t="e">
        <f ca="1">G47+Operating_Model!M160</f>
        <v>#DIV/0!</v>
      </c>
      <c r="I47" s="234" t="e">
        <f ca="1">H47+Operating_Model!N160</f>
        <v>#DIV/0!</v>
      </c>
      <c r="J47" s="234" t="e">
        <f ca="1">I47+Operating_Model!O160</f>
        <v>#DIV/0!</v>
      </c>
      <c r="K47" s="234" t="e">
        <f ca="1">J47+Operating_Model!P160</f>
        <v>#DIV/0!</v>
      </c>
      <c r="L47" s="234" t="e">
        <f ca="1">K47+Operating_Model!Q160</f>
        <v>#DIV/0!</v>
      </c>
      <c r="M47" s="234" t="e">
        <f ca="1">L47+Operating_Model!R160</f>
        <v>#DIV/0!</v>
      </c>
      <c r="N47" s="234" t="e">
        <f ca="1">M47+Operating_Model!S160</f>
        <v>#DIV/0!</v>
      </c>
    </row>
    <row r="49" spans="2:14" x14ac:dyDescent="0.25">
      <c r="B49" t="s">
        <v>285</v>
      </c>
      <c r="D49" s="234">
        <f>D45+D47</f>
        <v>32685.239484999998</v>
      </c>
      <c r="E49" s="234" t="e">
        <f t="shared" ref="E49:N49" ca="1" si="11">E45+E47</f>
        <v>#DIV/0!</v>
      </c>
      <c r="F49" s="234" t="e">
        <f t="shared" ca="1" si="11"/>
        <v>#DIV/0!</v>
      </c>
      <c r="G49" s="234" t="e">
        <f t="shared" ca="1" si="11"/>
        <v>#DIV/0!</v>
      </c>
      <c r="H49" s="234" t="e">
        <f t="shared" ca="1" si="11"/>
        <v>#DIV/0!</v>
      </c>
      <c r="I49" s="234" t="e">
        <f t="shared" ca="1" si="11"/>
        <v>#DIV/0!</v>
      </c>
      <c r="J49" s="234" t="e">
        <f t="shared" ca="1" si="11"/>
        <v>#DIV/0!</v>
      </c>
      <c r="K49" s="234" t="e">
        <f t="shared" ca="1" si="11"/>
        <v>#DIV/0!</v>
      </c>
      <c r="L49" s="234" t="e">
        <f t="shared" ca="1" si="11"/>
        <v>#DIV/0!</v>
      </c>
      <c r="M49" s="234" t="e">
        <f t="shared" ca="1" si="11"/>
        <v>#DIV/0!</v>
      </c>
      <c r="N49" s="234" t="e">
        <f t="shared" ca="1" si="11"/>
        <v>#DIV/0!</v>
      </c>
    </row>
    <row r="50" spans="2:14" x14ac:dyDescent="0.25">
      <c r="B50" t="s">
        <v>286</v>
      </c>
      <c r="D50" s="234">
        <f>DCF!I28</f>
        <v>8343.7800000000007</v>
      </c>
      <c r="E50" s="234" t="e">
        <f ca="1">DCF!J28</f>
        <v>#DIV/0!</v>
      </c>
      <c r="F50" s="234" t="e">
        <f ca="1">DCF!K28</f>
        <v>#DIV/0!</v>
      </c>
      <c r="G50" s="234" t="e">
        <f ca="1">DCF!L28</f>
        <v>#DIV/0!</v>
      </c>
      <c r="H50" s="234" t="e">
        <f ca="1">DCF!M28</f>
        <v>#DIV/0!</v>
      </c>
      <c r="I50" s="234" t="e">
        <f ca="1">DCF!N28</f>
        <v>#DIV/0!</v>
      </c>
      <c r="J50" s="234" t="e">
        <f ca="1">DCF!O28</f>
        <v>#DIV/0!</v>
      </c>
      <c r="K50" s="234" t="e">
        <f ca="1">DCF!P28</f>
        <v>#DIV/0!</v>
      </c>
      <c r="L50" s="234" t="e">
        <f ca="1">DCF!Q28</f>
        <v>#DIV/0!</v>
      </c>
      <c r="M50" s="234" t="e">
        <f ca="1">DCF!R28</f>
        <v>#DIV/0!</v>
      </c>
      <c r="N50" s="234" t="e">
        <f ca="1">DCF!S28</f>
        <v>#DIV/0!</v>
      </c>
    </row>
    <row r="51" spans="2:14" x14ac:dyDescent="0.25">
      <c r="B51" t="s">
        <v>287</v>
      </c>
      <c r="D51" s="352" t="s">
        <v>85</v>
      </c>
      <c r="E51" s="351" t="e">
        <f ca="1">E50/(AVERAGE(D49:E49))</f>
        <v>#DIV/0!</v>
      </c>
      <c r="F51" s="351" t="e">
        <f t="shared" ref="F51:N51" ca="1" si="12">F50/(AVERAGE(E49:F49))</f>
        <v>#DIV/0!</v>
      </c>
      <c r="G51" s="351" t="e">
        <f t="shared" ca="1" si="12"/>
        <v>#DIV/0!</v>
      </c>
      <c r="H51" s="351" t="e">
        <f t="shared" ca="1" si="12"/>
        <v>#DIV/0!</v>
      </c>
      <c r="I51" s="351" t="e">
        <f t="shared" ca="1" si="12"/>
        <v>#DIV/0!</v>
      </c>
      <c r="J51" s="351" t="e">
        <f t="shared" ca="1" si="12"/>
        <v>#DIV/0!</v>
      </c>
      <c r="K51" s="351" t="e">
        <f t="shared" ca="1" si="12"/>
        <v>#DIV/0!</v>
      </c>
      <c r="L51" s="351" t="e">
        <f t="shared" ca="1" si="12"/>
        <v>#DIV/0!</v>
      </c>
      <c r="M51" s="351" t="e">
        <f t="shared" ca="1" si="12"/>
        <v>#DIV/0!</v>
      </c>
      <c r="N51" s="351" t="e">
        <f t="shared" ca="1" si="12"/>
        <v>#DIV/0!</v>
      </c>
    </row>
    <row r="53" spans="2:14" x14ac:dyDescent="0.25">
      <c r="B53" s="10" t="s">
        <v>289</v>
      </c>
      <c r="C53" s="10"/>
      <c r="D53" s="258" t="s">
        <v>85</v>
      </c>
      <c r="E53" s="261" t="e">
        <f ca="1">E37*G18</f>
        <v>#DIV/0!</v>
      </c>
      <c r="F53" s="261" t="e">
        <f t="shared" ref="F53:N53" ca="1" si="13">F37*H18</f>
        <v>#DIV/0!</v>
      </c>
      <c r="G53" s="261" t="e">
        <f t="shared" ca="1" si="13"/>
        <v>#DIV/0!</v>
      </c>
      <c r="H53" s="261" t="e">
        <f t="shared" ca="1" si="13"/>
        <v>#DIV/0!</v>
      </c>
      <c r="I53" s="261" t="e">
        <f t="shared" ca="1" si="13"/>
        <v>#DIV/0!</v>
      </c>
      <c r="J53" s="261" t="e">
        <f t="shared" ca="1" si="13"/>
        <v>#DIV/0!</v>
      </c>
      <c r="K53" s="261" t="e">
        <f t="shared" ca="1" si="13"/>
        <v>#DIV/0!</v>
      </c>
      <c r="L53" s="261" t="e">
        <f t="shared" ca="1" si="13"/>
        <v>#DIV/0!</v>
      </c>
      <c r="M53" s="261" t="e">
        <f t="shared" ca="1" si="13"/>
        <v>#DIV/0!</v>
      </c>
      <c r="N53" s="261" t="e">
        <f t="shared" ca="1" si="13"/>
        <v>#DIV/0!</v>
      </c>
    </row>
    <row r="54" spans="2:14" x14ac:dyDescent="0.25">
      <c r="B54" t="s">
        <v>107</v>
      </c>
      <c r="D54" s="258" t="s">
        <v>85</v>
      </c>
      <c r="E54" s="234" t="e">
        <f ca="1">E45</f>
        <v>#DIV/0!</v>
      </c>
      <c r="F54" s="234" t="e">
        <f t="shared" ref="F54:N54" ca="1" si="14">F45</f>
        <v>#DIV/0!</v>
      </c>
      <c r="G54" s="234" t="e">
        <f t="shared" ca="1" si="14"/>
        <v>#DIV/0!</v>
      </c>
      <c r="H54" s="234" t="e">
        <f t="shared" ca="1" si="14"/>
        <v>#DIV/0!</v>
      </c>
      <c r="I54" s="234" t="e">
        <f t="shared" ca="1" si="14"/>
        <v>#DIV/0!</v>
      </c>
      <c r="J54" s="234" t="e">
        <f t="shared" ca="1" si="14"/>
        <v>#DIV/0!</v>
      </c>
      <c r="K54" s="234" t="e">
        <f t="shared" ca="1" si="14"/>
        <v>#DIV/0!</v>
      </c>
      <c r="L54" s="234" t="e">
        <f t="shared" ca="1" si="14"/>
        <v>#DIV/0!</v>
      </c>
      <c r="M54" s="234" t="e">
        <f t="shared" ca="1" si="14"/>
        <v>#DIV/0!</v>
      </c>
      <c r="N54" s="234" t="e">
        <f t="shared" ca="1" si="14"/>
        <v>#DIV/0!</v>
      </c>
    </row>
    <row r="55" spans="2:14" x14ac:dyDescent="0.25">
      <c r="B55" t="s">
        <v>109</v>
      </c>
      <c r="D55" s="258" t="s">
        <v>85</v>
      </c>
      <c r="E55" s="234" t="e">
        <f ca="1">E46</f>
        <v>#DIV/0!</v>
      </c>
      <c r="F55" s="234" t="e">
        <f t="shared" ref="F55:N55" ca="1" si="15">F46</f>
        <v>#DIV/0!</v>
      </c>
      <c r="G55" s="234" t="e">
        <f t="shared" ca="1" si="15"/>
        <v>#DIV/0!</v>
      </c>
      <c r="H55" s="234" t="e">
        <f t="shared" ca="1" si="15"/>
        <v>#DIV/0!</v>
      </c>
      <c r="I55" s="234" t="e">
        <f t="shared" ca="1" si="15"/>
        <v>#DIV/0!</v>
      </c>
      <c r="J55" s="234" t="e">
        <f t="shared" ca="1" si="15"/>
        <v>#DIV/0!</v>
      </c>
      <c r="K55" s="234" t="e">
        <f t="shared" ca="1" si="15"/>
        <v>#DIV/0!</v>
      </c>
      <c r="L55" s="234" t="e">
        <f t="shared" ca="1" si="15"/>
        <v>#DIV/0!</v>
      </c>
      <c r="M55" s="234" t="e">
        <f t="shared" ca="1" si="15"/>
        <v>#DIV/0!</v>
      </c>
      <c r="N55" s="234" t="e">
        <f t="shared" ca="1" si="15"/>
        <v>#DIV/0!</v>
      </c>
    </row>
    <row r="56" spans="2:14" x14ac:dyDescent="0.25">
      <c r="B56" s="101" t="s">
        <v>290</v>
      </c>
      <c r="C56" s="101"/>
      <c r="D56" s="248">
        <f>-G26</f>
        <v>-32685.239484999998</v>
      </c>
      <c r="E56" s="248" t="e">
        <f ca="1">(E53-E54+E55)*E58</f>
        <v>#DIV/0!</v>
      </c>
      <c r="F56" s="248" t="e">
        <f t="shared" ref="F56:N56" ca="1" si="16">(F53-F54+F55)*F58</f>
        <v>#DIV/0!</v>
      </c>
      <c r="G56" s="248" t="e">
        <f t="shared" ca="1" si="16"/>
        <v>#DIV/0!</v>
      </c>
      <c r="H56" s="248" t="e">
        <f t="shared" ca="1" si="16"/>
        <v>#DIV/0!</v>
      </c>
      <c r="I56" s="248" t="e">
        <f t="shared" ca="1" si="16"/>
        <v>#DIV/0!</v>
      </c>
      <c r="J56" s="248" t="e">
        <f t="shared" ca="1" si="16"/>
        <v>#DIV/0!</v>
      </c>
      <c r="K56" s="248" t="e">
        <f t="shared" ca="1" si="16"/>
        <v>#DIV/0!</v>
      </c>
      <c r="L56" s="248" t="e">
        <f t="shared" ca="1" si="16"/>
        <v>#DIV/0!</v>
      </c>
      <c r="M56" s="248" t="e">
        <f t="shared" ca="1" si="16"/>
        <v>#DIV/0!</v>
      </c>
      <c r="N56" s="248" t="e">
        <f t="shared" ca="1" si="16"/>
        <v>#DIV/0!</v>
      </c>
    </row>
    <row r="58" spans="2:14" x14ac:dyDescent="0.25">
      <c r="B58" t="s">
        <v>291</v>
      </c>
      <c r="D58" s="66" t="s">
        <v>85</v>
      </c>
      <c r="E58">
        <f ca="1">IF(E35=$N8, 1,0)</f>
        <v>0</v>
      </c>
      <c r="F58">
        <f t="shared" ref="F58:N58" ca="1" si="17">IF(F35=$N8, 1,0)</f>
        <v>0</v>
      </c>
      <c r="G58">
        <f t="shared" ca="1" si="17"/>
        <v>0</v>
      </c>
      <c r="H58">
        <f t="shared" ca="1" si="17"/>
        <v>0</v>
      </c>
      <c r="I58">
        <f t="shared" ca="1" si="17"/>
        <v>0</v>
      </c>
      <c r="J58">
        <f t="shared" ca="1" si="17"/>
        <v>0</v>
      </c>
      <c r="K58">
        <f t="shared" ca="1" si="17"/>
        <v>0</v>
      </c>
      <c r="L58">
        <f t="shared" ca="1" si="17"/>
        <v>0</v>
      </c>
      <c r="M58">
        <f t="shared" ca="1" si="17"/>
        <v>0</v>
      </c>
      <c r="N58">
        <f t="shared" ca="1" si="17"/>
        <v>0</v>
      </c>
    </row>
    <row r="59" spans="2:14" x14ac:dyDescent="0.25">
      <c r="B59" t="s">
        <v>292</v>
      </c>
      <c r="D59" s="66" t="s">
        <v>85</v>
      </c>
      <c r="E59" s="162" t="e">
        <f ca="1">(E56/-D56)</f>
        <v>#DIV/0!</v>
      </c>
      <c r="F59" s="162" t="e">
        <f t="shared" ref="F59:N59" ca="1" si="18">(F56/-E56)</f>
        <v>#DIV/0!</v>
      </c>
      <c r="G59" s="162" t="e">
        <f t="shared" ca="1" si="18"/>
        <v>#DIV/0!</v>
      </c>
      <c r="H59" s="162" t="e">
        <f t="shared" ca="1" si="18"/>
        <v>#DIV/0!</v>
      </c>
      <c r="I59" s="162" t="e">
        <f t="shared" ca="1" si="18"/>
        <v>#DIV/0!</v>
      </c>
      <c r="J59" s="162" t="e">
        <f t="shared" ca="1" si="18"/>
        <v>#DIV/0!</v>
      </c>
      <c r="K59" s="162" t="e">
        <f t="shared" ca="1" si="18"/>
        <v>#DIV/0!</v>
      </c>
      <c r="L59" s="162" t="e">
        <f t="shared" ca="1" si="18"/>
        <v>#DIV/0!</v>
      </c>
      <c r="M59" s="162" t="e">
        <f t="shared" ca="1" si="18"/>
        <v>#DIV/0!</v>
      </c>
      <c r="N59" s="162" t="e">
        <f t="shared" ca="1" si="18"/>
        <v>#DIV/0!</v>
      </c>
    </row>
    <row r="60" spans="2:14" ht="15.75" thickBot="1" x14ac:dyDescent="0.3"/>
    <row r="61" spans="2:14" x14ac:dyDescent="0.25">
      <c r="L61" s="157" t="s">
        <v>293</v>
      </c>
      <c r="M61" s="158"/>
      <c r="N61" s="159" t="e">
        <f ca="1">XIRR(E56:N56,E34:N34)</f>
        <v>#DIV/0!</v>
      </c>
    </row>
    <row r="62" spans="2:14" ht="15.75" thickBot="1" x14ac:dyDescent="0.3">
      <c r="L62" s="160" t="s">
        <v>292</v>
      </c>
      <c r="M62" s="161"/>
      <c r="N62" s="163" t="e">
        <f ca="1">SUM(E59:N59)</f>
        <v>#DIV/0!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3" name="Button 1">
              <controlPr defaultSize="0" print="0" autoFill="0" autoPict="0" macro="[0]!BacktoHub">
                <anchor moveWithCells="1" sizeWithCells="1">
                  <from>
                    <xdr:col>8</xdr:col>
                    <xdr:colOff>209550</xdr:colOff>
                    <xdr:row>2</xdr:row>
                    <xdr:rowOff>19050</xdr:rowOff>
                  </from>
                  <to>
                    <xdr:col>10</xdr:col>
                    <xdr:colOff>104775</xdr:colOff>
                    <xdr:row>4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F1E8FF-DC6B-4272-AFCB-632A77A27915}">
  <sheetPr codeName="Sheet17"/>
  <dimension ref="B1:AN105"/>
  <sheetViews>
    <sheetView zoomScaleNormal="100" workbookViewId="0">
      <selection activeCell="AL73" sqref="AL73"/>
    </sheetView>
  </sheetViews>
  <sheetFormatPr defaultRowHeight="15" x14ac:dyDescent="0.25"/>
  <cols>
    <col min="16" max="16" width="10.5703125" bestFit="1" customWidth="1"/>
  </cols>
  <sheetData>
    <row r="1" spans="2:10" ht="15.75" thickBot="1" x14ac:dyDescent="0.3"/>
    <row r="2" spans="2:10" x14ac:dyDescent="0.25">
      <c r="B2" s="167" t="s">
        <v>297</v>
      </c>
      <c r="C2" s="168"/>
      <c r="D2" s="168"/>
      <c r="E2" s="168"/>
      <c r="F2" s="169"/>
    </row>
    <row r="3" spans="2:10" x14ac:dyDescent="0.25">
      <c r="B3" s="170" t="s">
        <v>343</v>
      </c>
      <c r="F3" s="222" t="str">
        <f>Hub!T42</f>
        <v>GENERAL ELECTRIC CO</v>
      </c>
    </row>
    <row r="4" spans="2:10" x14ac:dyDescent="0.25">
      <c r="B4" s="170"/>
      <c r="F4" s="171"/>
    </row>
    <row r="5" spans="2:10" x14ac:dyDescent="0.25">
      <c r="B5" s="170" t="str">
        <f>TEXT(F3,) &amp;" - Current Share Price"</f>
        <v>GENERAL ELECTRIC CO - Current Share Price</v>
      </c>
      <c r="F5" s="172">
        <f>Hub!T45</f>
        <v>159.19</v>
      </c>
    </row>
    <row r="6" spans="2:10" x14ac:dyDescent="0.25">
      <c r="B6" s="170" t="str">
        <f>DCF!C2 &amp;" - Current Share Price"</f>
        <v>CAESARS ENTERTAINMENT INC - Current Share Price</v>
      </c>
      <c r="F6" s="172">
        <f>DCF!N11</f>
        <v>36.869999999999997</v>
      </c>
    </row>
    <row r="7" spans="2:10" x14ac:dyDescent="0.25">
      <c r="B7" s="170" t="s">
        <v>298</v>
      </c>
      <c r="F7" s="224">
        <f>Hub!T50</f>
        <v>0</v>
      </c>
    </row>
    <row r="8" spans="2:10" x14ac:dyDescent="0.25">
      <c r="B8" s="170"/>
      <c r="F8" s="171"/>
    </row>
    <row r="9" spans="2:10" x14ac:dyDescent="0.25">
      <c r="B9" s="170" t="str">
        <f ca="1">TEXT(F3,) &amp; " - Cash " &amp; DCF!I15 &amp; "A"</f>
        <v>GENERAL ELECTRIC CO - Cash 2023A</v>
      </c>
      <c r="F9" s="225">
        <f>Hub!T51</f>
        <v>18447</v>
      </c>
    </row>
    <row r="10" spans="2:10" x14ac:dyDescent="0.25">
      <c r="B10" s="170"/>
      <c r="F10" s="225"/>
    </row>
    <row r="11" spans="2:10" x14ac:dyDescent="0.25">
      <c r="B11" s="170" t="s">
        <v>299</v>
      </c>
      <c r="F11" s="226">
        <f>Hub!T52</f>
        <v>0</v>
      </c>
    </row>
    <row r="12" spans="2:10" ht="15.75" thickBot="1" x14ac:dyDescent="0.3">
      <c r="B12" s="174" t="s">
        <v>300</v>
      </c>
      <c r="C12" s="175"/>
      <c r="D12" s="175"/>
      <c r="E12" s="175"/>
      <c r="F12" s="176">
        <f>LBO!N17</f>
        <v>4.1673549999999997E-2</v>
      </c>
    </row>
    <row r="13" spans="2:10" x14ac:dyDescent="0.25">
      <c r="G13" s="167" t="s">
        <v>301</v>
      </c>
      <c r="H13" s="168"/>
      <c r="I13" s="168"/>
      <c r="J13" s="169"/>
    </row>
    <row r="14" spans="2:10" x14ac:dyDescent="0.25">
      <c r="G14" s="170"/>
      <c r="J14" s="171"/>
    </row>
    <row r="15" spans="2:10" x14ac:dyDescent="0.25">
      <c r="G15" s="170" t="s">
        <v>302</v>
      </c>
      <c r="J15" s="227">
        <f>Hub!T48</f>
        <v>0</v>
      </c>
    </row>
    <row r="16" spans="2:10" x14ac:dyDescent="0.25">
      <c r="G16" s="177" t="s">
        <v>308</v>
      </c>
      <c r="J16" s="178">
        <f>(J15-F6)/F6</f>
        <v>-1</v>
      </c>
    </row>
    <row r="17" spans="7:16" x14ac:dyDescent="0.25">
      <c r="G17" s="170" t="s">
        <v>303</v>
      </c>
      <c r="J17" s="179">
        <f>DCF!N10</f>
        <v>216.41549999999998</v>
      </c>
    </row>
    <row r="18" spans="7:16" x14ac:dyDescent="0.25">
      <c r="G18" s="180" t="s">
        <v>304</v>
      </c>
      <c r="H18" s="105"/>
      <c r="I18" s="105"/>
      <c r="J18" s="181">
        <f>J15*J17</f>
        <v>0</v>
      </c>
    </row>
    <row r="19" spans="7:16" x14ac:dyDescent="0.25">
      <c r="G19" s="170"/>
      <c r="J19" s="171"/>
    </row>
    <row r="20" spans="7:16" x14ac:dyDescent="0.25">
      <c r="G20" s="170" t="s">
        <v>305</v>
      </c>
      <c r="J20" s="182">
        <f>Debt_Schedule!AD41</f>
        <v>25711</v>
      </c>
    </row>
    <row r="21" spans="7:16" x14ac:dyDescent="0.25">
      <c r="G21" s="170" t="s">
        <v>155</v>
      </c>
      <c r="J21" s="171">
        <f>Net_Working_Capital!I8</f>
        <v>1005</v>
      </c>
    </row>
    <row r="22" spans="7:16" x14ac:dyDescent="0.25">
      <c r="G22" s="180" t="s">
        <v>306</v>
      </c>
      <c r="H22" s="105"/>
      <c r="I22" s="105"/>
      <c r="J22" s="181">
        <f>J18+J20-J21</f>
        <v>24706</v>
      </c>
    </row>
    <row r="23" spans="7:16" ht="15.75" thickBot="1" x14ac:dyDescent="0.3">
      <c r="G23" s="183" t="s">
        <v>307</v>
      </c>
      <c r="H23" s="175"/>
      <c r="I23" s="175"/>
      <c r="J23" s="184">
        <f>J22/LBO!D37</f>
        <v>2.7356881851400732</v>
      </c>
    </row>
    <row r="24" spans="7:16" x14ac:dyDescent="0.25">
      <c r="K24" s="167" t="s">
        <v>309</v>
      </c>
      <c r="L24" s="185"/>
      <c r="M24" s="185"/>
      <c r="N24" s="185"/>
      <c r="O24" s="185"/>
      <c r="P24" s="186"/>
    </row>
    <row r="25" spans="7:16" x14ac:dyDescent="0.25">
      <c r="K25" s="170"/>
      <c r="P25" s="171"/>
    </row>
    <row r="26" spans="7:16" x14ac:dyDescent="0.25">
      <c r="K26" s="170" t="str">
        <f ca="1">TEXT(F3,) &amp;" EBITDA - " &amp; LBO!E34 &amp; "E"</f>
        <v>GENERAL ELECTRIC CO EBITDA - 2024E</v>
      </c>
      <c r="P26" s="228">
        <f>Hub!T53</f>
        <v>5242</v>
      </c>
    </row>
    <row r="27" spans="7:16" x14ac:dyDescent="0.25">
      <c r="K27" s="170" t="str">
        <f ca="1">DCF!C2 &amp;" EBITDA - " &amp; LBO!E34 &amp; "E"</f>
        <v>CAESARS ENTERTAINMENT INC EBITDA - 2024E</v>
      </c>
      <c r="P27" s="171" t="e">
        <f ca="1">DCF!J23</f>
        <v>#DIV/0!</v>
      </c>
    </row>
    <row r="28" spans="7:16" x14ac:dyDescent="0.25">
      <c r="K28" s="187" t="s">
        <v>310</v>
      </c>
      <c r="L28" s="21"/>
      <c r="M28" s="21"/>
      <c r="N28" s="21"/>
      <c r="O28" s="21"/>
      <c r="P28" s="188" t="e">
        <f ca="1">P26+P27</f>
        <v>#DIV/0!</v>
      </c>
    </row>
    <row r="29" spans="7:16" x14ac:dyDescent="0.25">
      <c r="K29" s="170"/>
      <c r="P29" s="171"/>
    </row>
    <row r="30" spans="7:16" x14ac:dyDescent="0.25">
      <c r="K30" s="170" t="s">
        <v>311</v>
      </c>
      <c r="P30" s="189">
        <f>F11</f>
        <v>0</v>
      </c>
    </row>
    <row r="31" spans="7:16" x14ac:dyDescent="0.25">
      <c r="K31" s="180" t="s">
        <v>312</v>
      </c>
      <c r="L31" s="105"/>
      <c r="M31" s="105"/>
      <c r="N31" s="105"/>
      <c r="O31" s="105"/>
      <c r="P31" s="181" t="e">
        <f ca="1">P28*P30</f>
        <v>#DIV/0!</v>
      </c>
    </row>
    <row r="32" spans="7:16" x14ac:dyDescent="0.25">
      <c r="K32" s="170"/>
      <c r="P32" s="171"/>
    </row>
    <row r="33" spans="11:26" x14ac:dyDescent="0.25">
      <c r="K33" s="170" t="str">
        <f ca="1">TEXT(F3,) &amp; " Debt - " &amp; DCF!I15 &amp; "A"</f>
        <v>GENERAL ELECTRIC CO Debt - 2023A</v>
      </c>
      <c r="P33" s="225">
        <f>Hub!T54</f>
        <v>22937</v>
      </c>
    </row>
    <row r="34" spans="11:26" x14ac:dyDescent="0.25">
      <c r="K34" s="170" t="str">
        <f ca="1">TEXT(F3,) &amp; " Cash - " &amp; DCF!I15 &amp; "A (Outside Transaction)"</f>
        <v>GENERAL ELECTRIC CO Cash - 2023A (Outside Transaction)</v>
      </c>
      <c r="P34" s="171">
        <f>F9*(1-Z44)</f>
        <v>18447</v>
      </c>
    </row>
    <row r="35" spans="11:26" x14ac:dyDescent="0.25">
      <c r="K35" s="170" t="str">
        <f>DCF!C2 &amp; " Debt"</f>
        <v>CAESARS ENTERTAINMENT INC Debt</v>
      </c>
      <c r="P35" s="171">
        <f>Debt_Schedule!AD41</f>
        <v>25711</v>
      </c>
    </row>
    <row r="36" spans="11:26" x14ac:dyDescent="0.25">
      <c r="K36" s="170" t="str">
        <f>DCF!C2 &amp; " Rolled Cash"</f>
        <v>CAESARS ENTERTAINMENT INC Rolled Cash</v>
      </c>
      <c r="P36" s="171">
        <f>Net_Working_Capital!I8*(1-Z46)</f>
        <v>1005</v>
      </c>
    </row>
    <row r="37" spans="11:26" x14ac:dyDescent="0.25">
      <c r="K37" s="170"/>
      <c r="P37" s="171"/>
    </row>
    <row r="38" spans="11:26" x14ac:dyDescent="0.25">
      <c r="K38" s="190" t="s">
        <v>313</v>
      </c>
      <c r="L38" s="166"/>
      <c r="M38" s="166"/>
      <c r="N38" s="166"/>
      <c r="O38" s="166"/>
      <c r="P38" s="191">
        <f>P36+P35</f>
        <v>26716</v>
      </c>
    </row>
    <row r="39" spans="11:26" ht="15.75" thickBot="1" x14ac:dyDescent="0.3">
      <c r="K39" s="192" t="s">
        <v>314</v>
      </c>
      <c r="L39" s="193"/>
      <c r="M39" s="193"/>
      <c r="N39" s="193"/>
      <c r="O39" s="193"/>
      <c r="P39" s="194" t="e">
        <f ca="1">P31-P38</f>
        <v>#DIV/0!</v>
      </c>
    </row>
    <row r="40" spans="11:26" x14ac:dyDescent="0.25">
      <c r="Q40" s="167" t="s">
        <v>264</v>
      </c>
      <c r="R40" s="168"/>
      <c r="S40" s="168"/>
      <c r="T40" s="168"/>
      <c r="U40" s="168"/>
      <c r="V40" s="168"/>
      <c r="W40" s="168"/>
      <c r="X40" s="168"/>
      <c r="Y40" s="168"/>
      <c r="Z40" s="169"/>
    </row>
    <row r="41" spans="11:26" x14ac:dyDescent="0.25">
      <c r="Q41" s="170"/>
      <c r="Z41" s="171"/>
    </row>
    <row r="42" spans="11:26" x14ac:dyDescent="0.25">
      <c r="Q42" s="195" t="s">
        <v>265</v>
      </c>
      <c r="V42" s="196" t="s">
        <v>266</v>
      </c>
      <c r="Z42" s="171"/>
    </row>
    <row r="43" spans="11:26" x14ac:dyDescent="0.25">
      <c r="Q43" s="170" t="s">
        <v>304</v>
      </c>
      <c r="T43">
        <f>J18</f>
        <v>0</v>
      </c>
      <c r="V43" t="str">
        <f>TEXT(F3,) &amp; " Cash For Transaction"</f>
        <v>GENERAL ELECTRIC CO Cash For Transaction</v>
      </c>
      <c r="Z43" s="171">
        <f>Z44*F9</f>
        <v>0</v>
      </c>
    </row>
    <row r="44" spans="11:26" x14ac:dyDescent="0.25">
      <c r="Q44" s="170" t="str">
        <f>DCF!C2 &amp; " Debt"</f>
        <v>CAESARS ENTERTAINMENT INC Debt</v>
      </c>
      <c r="T44">
        <f>Debt_Schedule!AD41</f>
        <v>25711</v>
      </c>
      <c r="V44" s="11" t="s">
        <v>316</v>
      </c>
      <c r="Z44" s="197"/>
    </row>
    <row r="45" spans="11:26" x14ac:dyDescent="0.25">
      <c r="Q45" s="170" t="s">
        <v>298</v>
      </c>
      <c r="T45">
        <f>F7*J22</f>
        <v>0</v>
      </c>
      <c r="V45" t="str">
        <f>DCF!C2 &amp; " Cash For Transaction"</f>
        <v>CAESARS ENTERTAINMENT INC Cash For Transaction</v>
      </c>
      <c r="Z45" s="171">
        <f>Net_Working_Capital!I8*Z46</f>
        <v>0</v>
      </c>
    </row>
    <row r="46" spans="11:26" x14ac:dyDescent="0.25">
      <c r="Q46" s="180" t="s">
        <v>275</v>
      </c>
      <c r="R46" s="105"/>
      <c r="S46" s="105"/>
      <c r="T46" s="105">
        <f>SUM(T43:T45)</f>
        <v>25711</v>
      </c>
      <c r="V46" s="11" t="s">
        <v>316</v>
      </c>
      <c r="Z46" s="197"/>
    </row>
    <row r="47" spans="11:26" x14ac:dyDescent="0.25">
      <c r="Q47" s="170"/>
      <c r="V47" t="str">
        <f>DCF!C2 &amp; " Debt"</f>
        <v>CAESARS ENTERTAINMENT INC Debt</v>
      </c>
      <c r="Z47" s="171">
        <f>Debt_Schedule!AD41</f>
        <v>25711</v>
      </c>
    </row>
    <row r="48" spans="11:26" x14ac:dyDescent="0.25">
      <c r="Q48" s="170"/>
      <c r="V48" t="s">
        <v>315</v>
      </c>
      <c r="Z48" s="171" t="e">
        <f ca="1">P39</f>
        <v>#DIV/0!</v>
      </c>
    </row>
    <row r="49" spans="17:40" x14ac:dyDescent="0.25">
      <c r="Q49" s="170"/>
      <c r="V49" t="str">
        <f>"Equity to " &amp; DCF!C2 &amp; " Shareholders"</f>
        <v>Equity to CAESARS ENTERTAINMENT INC Shareholders</v>
      </c>
      <c r="Z49" s="171" t="e">
        <f ca="1">Z50-Z48-Z47+Z45-Z43</f>
        <v>#DIV/0!</v>
      </c>
    </row>
    <row r="50" spans="17:40" ht="15.75" thickBot="1" x14ac:dyDescent="0.3">
      <c r="Q50" s="174"/>
      <c r="R50" s="175"/>
      <c r="S50" s="175"/>
      <c r="T50" s="175"/>
      <c r="U50" s="175"/>
      <c r="V50" s="198" t="s">
        <v>274</v>
      </c>
      <c r="W50" s="193"/>
      <c r="X50" s="193"/>
      <c r="Y50" s="193"/>
      <c r="Z50" s="194">
        <f>T46</f>
        <v>25711</v>
      </c>
    </row>
    <row r="51" spans="17:40" x14ac:dyDescent="0.25">
      <c r="AA51" s="167" t="s">
        <v>317</v>
      </c>
      <c r="AB51" s="168"/>
      <c r="AC51" s="168"/>
      <c r="AD51" s="168"/>
      <c r="AE51" s="168"/>
      <c r="AF51" s="168"/>
      <c r="AG51" s="169"/>
    </row>
    <row r="52" spans="17:40" x14ac:dyDescent="0.25">
      <c r="AA52" s="170"/>
      <c r="AG52" s="171"/>
    </row>
    <row r="53" spans="17:40" x14ac:dyDescent="0.25">
      <c r="AA53" s="170" t="str">
        <f>DCF!C2 &amp; " Equity Take-Out"</f>
        <v>CAESARS ENTERTAINMENT INC Equity Take-Out</v>
      </c>
      <c r="AG53" s="171">
        <f>J18</f>
        <v>0</v>
      </c>
    </row>
    <row r="54" spans="17:40" x14ac:dyDescent="0.25">
      <c r="AA54" s="199" t="s">
        <v>318</v>
      </c>
      <c r="AG54" s="200" t="e">
        <f ca="1">Z49</f>
        <v>#DIV/0!</v>
      </c>
    </row>
    <row r="55" spans="17:40" x14ac:dyDescent="0.25">
      <c r="AA55" s="177" t="str">
        <f>"% Equity Issued to " &amp; DCF!C2</f>
        <v>% Equity Issued to CAESARS ENTERTAINMENT INC</v>
      </c>
      <c r="AG55" s="201" t="e">
        <f ca="1">AG54/AG53</f>
        <v>#DIV/0!</v>
      </c>
    </row>
    <row r="56" spans="17:40" x14ac:dyDescent="0.25">
      <c r="AA56" s="199" t="s">
        <v>319</v>
      </c>
      <c r="AG56" s="200" t="e">
        <f ca="1">AG53-AG54</f>
        <v>#DIV/0!</v>
      </c>
    </row>
    <row r="57" spans="17:40" x14ac:dyDescent="0.25">
      <c r="AA57" s="170"/>
      <c r="AG57" s="171"/>
    </row>
    <row r="58" spans="17:40" x14ac:dyDescent="0.25">
      <c r="AA58" s="170" t="s">
        <v>320</v>
      </c>
      <c r="AG58" s="171">
        <f>J15</f>
        <v>0</v>
      </c>
    </row>
    <row r="59" spans="17:40" x14ac:dyDescent="0.25">
      <c r="AA59" s="170" t="str">
        <f>F3 &amp; " Share Price"</f>
        <v>GENERAL ELECTRIC CO Share Price</v>
      </c>
      <c r="AG59" s="202">
        <f>Hub!T45</f>
        <v>159.19</v>
      </c>
    </row>
    <row r="60" spans="17:40" x14ac:dyDescent="0.25">
      <c r="AA60" s="203" t="s">
        <v>321</v>
      </c>
      <c r="AB60" s="166"/>
      <c r="AC60" s="166"/>
      <c r="AD60" s="166"/>
      <c r="AE60" s="166"/>
      <c r="AF60" s="166"/>
      <c r="AG60" s="191" t="e">
        <f>AG59/AG58</f>
        <v>#DIV/0!</v>
      </c>
    </row>
    <row r="61" spans="17:40" x14ac:dyDescent="0.25">
      <c r="AA61" s="199" t="s">
        <v>322</v>
      </c>
      <c r="AG61" s="171" t="e">
        <f ca="1">AG60*AG55</f>
        <v>#DIV/0!</v>
      </c>
    </row>
    <row r="62" spans="17:40" x14ac:dyDescent="0.25">
      <c r="AA62" s="170" t="str">
        <f>DCF!C2 &amp; " Shares Outstanding"</f>
        <v>CAESARS ENTERTAINMENT INC Shares Outstanding</v>
      </c>
      <c r="AG62" s="179">
        <f>DCF!N10</f>
        <v>216.41549999999998</v>
      </c>
    </row>
    <row r="63" spans="17:40" ht="15.75" thickBot="1" x14ac:dyDescent="0.3">
      <c r="AA63" s="192" t="str">
        <f>"Shares Issued to " &amp; DCF!C2 &amp; " Shareholders"</f>
        <v>Shares Issued to CAESARS ENTERTAINMENT INC Shareholders</v>
      </c>
      <c r="AB63" s="193"/>
      <c r="AC63" s="193"/>
      <c r="AD63" s="193"/>
      <c r="AE63" s="193"/>
      <c r="AF63" s="193"/>
      <c r="AG63" s="194" t="e">
        <f ca="1">AG62*AG61</f>
        <v>#DIV/0!</v>
      </c>
    </row>
    <row r="64" spans="17:40" x14ac:dyDescent="0.25">
      <c r="AH64" s="167" t="s">
        <v>323</v>
      </c>
      <c r="AI64" s="185"/>
      <c r="AJ64" s="185"/>
      <c r="AK64" s="168"/>
      <c r="AL64" s="168"/>
      <c r="AM64" s="168"/>
      <c r="AN64" s="169"/>
    </row>
    <row r="65" spans="34:40" x14ac:dyDescent="0.25">
      <c r="AH65" s="170"/>
      <c r="AN65" s="171"/>
    </row>
    <row r="66" spans="34:40" x14ac:dyDescent="0.25">
      <c r="AH66" s="170"/>
      <c r="AL66" s="148">
        <f ca="1">DCF!J15</f>
        <v>2024</v>
      </c>
      <c r="AM66" s="148">
        <f ca="1">DCF!K15</f>
        <v>2025</v>
      </c>
      <c r="AN66" s="205">
        <f ca="1">DCF!L15</f>
        <v>2026</v>
      </c>
    </row>
    <row r="67" spans="34:40" x14ac:dyDescent="0.25">
      <c r="AH67" s="170" t="str">
        <f>F3 &amp; " Diluted EPS"</f>
        <v>GENERAL ELECTRIC CO Diluted EPS</v>
      </c>
      <c r="AL67" s="154"/>
      <c r="AM67" s="154"/>
      <c r="AN67" s="173"/>
    </row>
    <row r="68" spans="34:40" x14ac:dyDescent="0.25">
      <c r="AH68" s="170" t="str">
        <f>F3 &amp; " Diluted S/O"</f>
        <v>GENERAL ELECTRIC CO Diluted S/O</v>
      </c>
      <c r="AL68" s="154"/>
      <c r="AM68" s="154"/>
      <c r="AN68" s="173"/>
    </row>
    <row r="69" spans="34:40" x14ac:dyDescent="0.25">
      <c r="AH69" s="187" t="s">
        <v>324</v>
      </c>
      <c r="AI69" s="21"/>
      <c r="AJ69" s="21"/>
      <c r="AK69" s="21"/>
      <c r="AL69" s="12"/>
      <c r="AM69" s="12"/>
      <c r="AN69" s="206"/>
    </row>
    <row r="70" spans="34:40" x14ac:dyDescent="0.25">
      <c r="AH70" s="170"/>
      <c r="AN70" s="171"/>
    </row>
    <row r="71" spans="34:40" x14ac:dyDescent="0.25">
      <c r="AH71" s="199" t="str">
        <f>DCF!C2 &amp; " EBITDA"</f>
        <v>CAESARS ENTERTAINMENT INC EBITDA</v>
      </c>
      <c r="AL71" t="e">
        <f ca="1">DCF!J23</f>
        <v>#DIV/0!</v>
      </c>
      <c r="AM71" t="e">
        <f ca="1">DCF!K23</f>
        <v>#DIV/0!</v>
      </c>
      <c r="AN71" s="171" t="e">
        <f ca="1">DCF!L23</f>
        <v>#DIV/0!</v>
      </c>
    </row>
    <row r="72" spans="34:40" x14ac:dyDescent="0.25">
      <c r="AH72" s="170" t="s">
        <v>325</v>
      </c>
      <c r="AL72" t="e">
        <f ca="1">DCF_Synergies!I23-DCF!J23</f>
        <v>#DIV/0!</v>
      </c>
      <c r="AM72" t="e">
        <f ca="1">DCF_Synergies!J23-DCF!K23</f>
        <v>#DIV/0!</v>
      </c>
      <c r="AN72" s="171" t="e">
        <f ca="1">DCF_Synergies!K23-DCF!L23</f>
        <v>#DIV/0!</v>
      </c>
    </row>
    <row r="73" spans="34:40" x14ac:dyDescent="0.25">
      <c r="AH73" s="170" t="s">
        <v>326</v>
      </c>
      <c r="AL73" s="154"/>
      <c r="AM73" s="154"/>
      <c r="AN73" s="173"/>
    </row>
    <row r="74" spans="34:40" x14ac:dyDescent="0.25">
      <c r="AH74" s="170" t="s">
        <v>327</v>
      </c>
      <c r="AL74" t="e">
        <f ca="1">F12*(P35+Z48)</f>
        <v>#DIV/0!</v>
      </c>
      <c r="AM74" t="e">
        <f ca="1">AL74</f>
        <v>#DIV/0!</v>
      </c>
      <c r="AN74" s="171" t="e">
        <f ca="1">AM74</f>
        <v>#DIV/0!</v>
      </c>
    </row>
    <row r="75" spans="34:40" x14ac:dyDescent="0.25">
      <c r="AH75" s="170" t="s">
        <v>139</v>
      </c>
      <c r="AL75" t="e">
        <f ca="1">DCF_Synergies!I29</f>
        <v>#DIV/0!</v>
      </c>
      <c r="AM75" t="e">
        <f ca="1">DCF_Synergies!J29</f>
        <v>#DIV/0!</v>
      </c>
      <c r="AN75" s="171" t="e">
        <f ca="1">DCF_Synergies!K29</f>
        <v>#DIV/0!</v>
      </c>
    </row>
    <row r="76" spans="34:40" x14ac:dyDescent="0.25">
      <c r="AH76" s="187" t="s">
        <v>328</v>
      </c>
      <c r="AI76" s="21"/>
      <c r="AJ76" s="21"/>
      <c r="AK76" s="21"/>
      <c r="AL76" s="12" t="e">
        <f ca="1">AL71+AL72-AL73-AL74-AL75</f>
        <v>#DIV/0!</v>
      </c>
      <c r="AM76" s="12" t="e">
        <f t="shared" ref="AM76:AN76" ca="1" si="0">AM71+AM72-AM73-AM74-AM75</f>
        <v>#DIV/0!</v>
      </c>
      <c r="AN76" s="206" t="e">
        <f t="shared" ca="1" si="0"/>
        <v>#DIV/0!</v>
      </c>
    </row>
    <row r="77" spans="34:40" x14ac:dyDescent="0.25">
      <c r="AH77" s="170" t="s">
        <v>143</v>
      </c>
      <c r="AL77" t="e">
        <f ca="1">AL76*Hub!$T48</f>
        <v>#DIV/0!</v>
      </c>
      <c r="AM77" t="e">
        <f ca="1">AM76*Hub!$T48</f>
        <v>#DIV/0!</v>
      </c>
      <c r="AN77" s="171" t="e">
        <f ca="1">AN76*Hub!$T48</f>
        <v>#DIV/0!</v>
      </c>
    </row>
    <row r="78" spans="34:40" x14ac:dyDescent="0.25">
      <c r="AH78" s="187" t="s">
        <v>329</v>
      </c>
      <c r="AI78" s="21"/>
      <c r="AJ78" s="21"/>
      <c r="AK78" s="21"/>
      <c r="AL78" s="12" t="e">
        <f ca="1">AL76-AL77</f>
        <v>#DIV/0!</v>
      </c>
      <c r="AM78" s="12" t="e">
        <f t="shared" ref="AM78:AN78" ca="1" si="1">AM76-AM77</f>
        <v>#DIV/0!</v>
      </c>
      <c r="AN78" s="206" t="e">
        <f t="shared" ca="1" si="1"/>
        <v>#DIV/0!</v>
      </c>
    </row>
    <row r="79" spans="34:40" x14ac:dyDescent="0.25">
      <c r="AH79" s="170"/>
      <c r="AN79" s="171"/>
    </row>
    <row r="80" spans="34:40" x14ac:dyDescent="0.25">
      <c r="AH80" s="170" t="s">
        <v>330</v>
      </c>
      <c r="AL80" t="e">
        <f ca="1">AL69+AL78</f>
        <v>#DIV/0!</v>
      </c>
      <c r="AM80" t="e">
        <f t="shared" ref="AM80:AN80" ca="1" si="2">AM69+AM78</f>
        <v>#DIV/0!</v>
      </c>
      <c r="AN80" s="171" t="e">
        <f t="shared" ca="1" si="2"/>
        <v>#DIV/0!</v>
      </c>
    </row>
    <row r="81" spans="34:40" x14ac:dyDescent="0.25">
      <c r="AH81" s="170" t="s">
        <v>331</v>
      </c>
      <c r="AL81" t="e">
        <f ca="1">AL68+$AG63</f>
        <v>#DIV/0!</v>
      </c>
      <c r="AM81" t="e">
        <f ca="1">AM68+$AG63</f>
        <v>#DIV/0!</v>
      </c>
      <c r="AN81" s="171" t="e">
        <f ca="1">AN68+$AG63</f>
        <v>#DIV/0!</v>
      </c>
    </row>
    <row r="82" spans="34:40" x14ac:dyDescent="0.25">
      <c r="AH82" s="187" t="s">
        <v>332</v>
      </c>
      <c r="AI82" s="21"/>
      <c r="AJ82" s="21"/>
      <c r="AK82" s="21"/>
      <c r="AL82" s="21" t="e">
        <f ca="1">AL80/AL81</f>
        <v>#DIV/0!</v>
      </c>
      <c r="AM82" s="21" t="e">
        <f t="shared" ref="AM82:AN82" ca="1" si="3">AM80/AM81</f>
        <v>#DIV/0!</v>
      </c>
      <c r="AN82" s="188" t="e">
        <f t="shared" ca="1" si="3"/>
        <v>#DIV/0!</v>
      </c>
    </row>
    <row r="83" spans="34:40" x14ac:dyDescent="0.25">
      <c r="AH83" s="199"/>
      <c r="AN83" s="171"/>
    </row>
    <row r="84" spans="34:40" x14ac:dyDescent="0.25">
      <c r="AH84" s="207" t="s">
        <v>337</v>
      </c>
      <c r="AI84" s="108"/>
      <c r="AJ84" s="108"/>
      <c r="AK84" s="108"/>
      <c r="AL84" s="229" t="e">
        <f ca="1">AL82-AL67</f>
        <v>#DIV/0!</v>
      </c>
      <c r="AM84" s="229" t="e">
        <f t="shared" ref="AM84" ca="1" si="4">AM82-AM67</f>
        <v>#DIV/0!</v>
      </c>
      <c r="AN84" s="208" t="e">
        <f ca="1">AN82-AN67</f>
        <v>#DIV/0!</v>
      </c>
    </row>
    <row r="85" spans="34:40" x14ac:dyDescent="0.25">
      <c r="AH85" s="209" t="s">
        <v>338</v>
      </c>
      <c r="AI85" s="108"/>
      <c r="AJ85" s="108"/>
      <c r="AK85" s="108"/>
      <c r="AL85" s="204" t="e">
        <f ca="1">(AL84-AL67)/AL67</f>
        <v>#DIV/0!</v>
      </c>
      <c r="AM85" s="204" t="e">
        <f t="shared" ref="AM85:AN85" ca="1" si="5">(AM84-AM67)/AM67</f>
        <v>#DIV/0!</v>
      </c>
      <c r="AN85" s="210" t="e">
        <f t="shared" ca="1" si="5"/>
        <v>#DIV/0!</v>
      </c>
    </row>
    <row r="86" spans="34:40" x14ac:dyDescent="0.25">
      <c r="AH86" s="170"/>
      <c r="AN86" s="171"/>
    </row>
    <row r="87" spans="34:40" x14ac:dyDescent="0.25">
      <c r="AH87" s="211" t="s">
        <v>333</v>
      </c>
      <c r="AI87" s="16"/>
      <c r="AJ87" s="16"/>
      <c r="AK87" s="16"/>
      <c r="AL87" s="16"/>
      <c r="AM87" s="16"/>
      <c r="AN87" s="212"/>
    </row>
    <row r="88" spans="34:40" x14ac:dyDescent="0.25">
      <c r="AH88" s="170"/>
      <c r="AN88" s="171"/>
    </row>
    <row r="89" spans="34:40" x14ac:dyDescent="0.25">
      <c r="AH89" s="170"/>
      <c r="AL89" s="137" t="s">
        <v>335</v>
      </c>
      <c r="AM89" s="137" t="s">
        <v>336</v>
      </c>
      <c r="AN89" s="218" t="s">
        <v>342</v>
      </c>
    </row>
    <row r="90" spans="34:40" x14ac:dyDescent="0.25">
      <c r="AH90" s="170" t="str">
        <f ca="1">"Debt - " &amp; DCF!J15 &amp; "E"</f>
        <v>Debt - 2024E</v>
      </c>
      <c r="AL90">
        <f>P33</f>
        <v>22937</v>
      </c>
      <c r="AM90" t="e">
        <f ca="1">Z47+Z48</f>
        <v>#DIV/0!</v>
      </c>
      <c r="AN90" s="171" t="e">
        <f ca="1">AL90+AM90</f>
        <v>#DIV/0!</v>
      </c>
    </row>
    <row r="91" spans="34:40" x14ac:dyDescent="0.25">
      <c r="AH91" s="170" t="str">
        <f ca="1">"Cash - " &amp; DCF!J15 &amp; "E"</f>
        <v>Cash - 2024E</v>
      </c>
      <c r="AL91">
        <f>F9</f>
        <v>18447</v>
      </c>
      <c r="AM91">
        <f>Z43-Z45</f>
        <v>0</v>
      </c>
      <c r="AN91" s="171">
        <f>AL91+AM91</f>
        <v>18447</v>
      </c>
    </row>
    <row r="92" spans="34:40" x14ac:dyDescent="0.25">
      <c r="AH92" s="180" t="str">
        <f ca="1">"Net Debt - " &amp; DCF!J15 &amp; "E"</f>
        <v>Net Debt - 2024E</v>
      </c>
      <c r="AI92" s="105"/>
      <c r="AJ92" s="105"/>
      <c r="AK92" s="105"/>
      <c r="AL92" s="101">
        <f>AL90-AL91</f>
        <v>4490</v>
      </c>
      <c r="AM92" s="101" t="e">
        <f t="shared" ref="AM92:AN92" ca="1" si="6">AM90-AM91</f>
        <v>#DIV/0!</v>
      </c>
      <c r="AN92" s="213" t="e">
        <f t="shared" ca="1" si="6"/>
        <v>#DIV/0!</v>
      </c>
    </row>
    <row r="93" spans="34:40" x14ac:dyDescent="0.25">
      <c r="AH93" s="170"/>
      <c r="AN93" s="171"/>
    </row>
    <row r="94" spans="34:40" x14ac:dyDescent="0.25">
      <c r="AH94" s="170" t="str">
        <f ca="1">"EBITDA - " &amp; DCF!J15 &amp; "E"</f>
        <v>EBITDA - 2024E</v>
      </c>
      <c r="AL94">
        <f>P26</f>
        <v>5242</v>
      </c>
      <c r="AM94" t="e">
        <f ca="1">P27</f>
        <v>#DIV/0!</v>
      </c>
      <c r="AN94" s="171" t="e">
        <f ca="1">AL94+AM94</f>
        <v>#DIV/0!</v>
      </c>
    </row>
    <row r="95" spans="34:40" x14ac:dyDescent="0.25">
      <c r="AH95" s="207" t="s">
        <v>334</v>
      </c>
      <c r="AI95" s="108"/>
      <c r="AJ95" s="108"/>
      <c r="AK95" s="108"/>
      <c r="AL95" s="230">
        <f>AL92/AL94</f>
        <v>0.85654330408241131</v>
      </c>
      <c r="AM95" s="230" t="e">
        <f t="shared" ref="AM95:AN95" ca="1" si="7">AM92/AM94</f>
        <v>#DIV/0!</v>
      </c>
      <c r="AN95" s="214" t="e">
        <f t="shared" ca="1" si="7"/>
        <v>#DIV/0!</v>
      </c>
    </row>
    <row r="96" spans="34:40" x14ac:dyDescent="0.25">
      <c r="AH96" s="170"/>
      <c r="AN96" s="171"/>
    </row>
    <row r="97" spans="34:40" x14ac:dyDescent="0.25">
      <c r="AH97" s="211" t="str">
        <f ca="1">"FY" &amp; DCF!L15 &amp; "E Accretion/Dilution Sensitivity Analysis"</f>
        <v>FY2026E Accretion/Dilution Sensitivity Analysis</v>
      </c>
      <c r="AI97" s="16"/>
      <c r="AJ97" s="16"/>
      <c r="AK97" s="16"/>
      <c r="AL97" s="16"/>
      <c r="AM97" s="16"/>
      <c r="AN97" s="212"/>
    </row>
    <row r="98" spans="34:40" x14ac:dyDescent="0.25">
      <c r="AH98" s="170"/>
      <c r="AN98" s="171"/>
    </row>
    <row r="99" spans="34:40" x14ac:dyDescent="0.25">
      <c r="AH99" s="170"/>
      <c r="AL99" s="10" t="s">
        <v>325</v>
      </c>
      <c r="AN99" s="171"/>
    </row>
    <row r="100" spans="34:40" x14ac:dyDescent="0.25">
      <c r="AH100" s="170"/>
      <c r="AJ100" t="e">
        <f ca="1">AK100-5</f>
        <v>#DIV/0!</v>
      </c>
      <c r="AK100" t="e">
        <f ca="1">AL100-5</f>
        <v>#DIV/0!</v>
      </c>
      <c r="AL100" t="e">
        <f ca="1">AN72</f>
        <v>#DIV/0!</v>
      </c>
      <c r="AM100" t="e">
        <f ca="1">AL100+5</f>
        <v>#DIV/0!</v>
      </c>
      <c r="AN100" s="171" t="e">
        <f t="shared" ref="AN100" ca="1" si="8">AM100+5</f>
        <v>#DIV/0!</v>
      </c>
    </row>
    <row r="101" spans="34:40" x14ac:dyDescent="0.25">
      <c r="AH101" s="170"/>
      <c r="AI101" s="231">
        <f t="shared" ref="AI101" si="9">AI102-1</f>
        <v>-2</v>
      </c>
      <c r="AJ101" s="221" t="e">
        <f ca="1">(((($AN$71+AJ$100-$AN$73-$AN$74-$AN$75)*(1-DCF!$D$11))+$AN$69)/($AN$68+(((($AI101*$J$17)+$T$44+$T$45-$Z$43+$Z$45-$Z$47-$Z$48)/($AI101*$J$17))*($AI101/$AG$59)*$AG$62)))-$AN$67</f>
        <v>#DIV/0!</v>
      </c>
      <c r="AK101" s="21" t="e">
        <f ca="1">(((($AN$71+AK$100-$AN$73-$AN$74-$AN$75)*(1-DCF!$D$11))+$AN$69)/($AN$68+(((($AI101*$J$17)+$T$44+$T$45-$Z$43+$Z$45-$Z$47-$Z$48)/($AI101*$J$17))*($AI101/$AG$59)*$AG$62)))-$AN$67</f>
        <v>#DIV/0!</v>
      </c>
      <c r="AL101" s="21" t="e">
        <f ca="1">(((($AN$71+AL$100-$AN$73-$AN$74-$AN$75)*(1-DCF!$D$11))+$AN$69)/($AN$68+(((($AI101*$J$17)+$T$44+$T$45-$Z$43+$Z$45-$Z$47-$Z$48)/($AI101*$J$17))*($AI101/$AG$59)*$AG$62)))-$AN$67</f>
        <v>#DIV/0!</v>
      </c>
      <c r="AM101" s="21" t="e">
        <f ca="1">(((($AN$71+AM$100-$AN$73-$AN$74-$AN$75)*(1-DCF!$D$11))+$AN$69)/($AN$68+(((($AI101*$J$17)+$T$44+$T$45-$Z$43+$Z$45-$Z$47-$Z$48)/($AI101*$J$17))*($AI101/$AG$59)*$AG$62)))-$AN$67</f>
        <v>#DIV/0!</v>
      </c>
      <c r="AN101" s="188" t="e">
        <f ca="1">(((($AN$71+AN$100-$AN$73-$AN$74-$AN$75)*(1-DCF!$D$11))+$AN$69)/($AN$68+(((($AI101*$J$17)+$T$44+$T$45-$Z$43+$Z$45-$Z$47-$Z$48)/($AI101*$J$17))*($AI101/$AG$59)*$AG$62)))-$AN$67</f>
        <v>#DIV/0!</v>
      </c>
    </row>
    <row r="102" spans="34:40" x14ac:dyDescent="0.25">
      <c r="AH102" s="215" t="s">
        <v>339</v>
      </c>
      <c r="AI102" s="231">
        <f>AI103-1</f>
        <v>-1</v>
      </c>
      <c r="AJ102" s="219" t="e">
        <f ca="1">(((($AN$71+AJ$100-$AN$73-$AN$74-$AN$75)*(1-DCF!$D$11))+$AN$69)/($AN$68+(((($AI102*$J$17)+$T$44+$T$45-$Z$43+$Z$45-$Z$47-$Z$48)/($AI102*$J$17))*($AI102/$AG$59)*$AG$62)))-$AN$67</f>
        <v>#DIV/0!</v>
      </c>
      <c r="AK102" t="e">
        <f ca="1">(((($AN$71+AK$100-$AN$73-$AN$74-$AN$75)*(1-DCF!$D$11))+$AN$69)/($AN$68+(((($AI102*$J$17)+$T$44+$T$45-$Z$43+$Z$45-$Z$47-$Z$48)/($AI102*$J$17))*($AI102/$AG$59)*$AG$62)))-$AN$67</f>
        <v>#DIV/0!</v>
      </c>
      <c r="AL102" t="e">
        <f ca="1">(((($AN$71+AL$100-$AN$73-$AN$74-$AN$75)*(1-DCF!$D$11))+$AN$69)/($AN$68+(((($AI102*$J$17)+$T$44+$T$45-$Z$43+$Z$45-$Z$47-$Z$48)/($AI102*$J$17))*($AI102/$AG$59)*$AG$62)))-$AN$67</f>
        <v>#DIV/0!</v>
      </c>
      <c r="AM102" t="e">
        <f ca="1">(((($AN$71+AM$100-$AN$73-$AN$74-$AN$75)*(1-DCF!$D$11))+$AN$69)/($AN$68+(((($AI102*$J$17)+$T$44+$T$45-$Z$43+$Z$45-$Z$47-$Z$48)/($AI102*$J$17))*($AI102/$AG$59)*$AG$62)))-$AN$67</f>
        <v>#DIV/0!</v>
      </c>
      <c r="AN102" s="171" t="e">
        <f ca="1">(((($AN$71+AN$100-$AN$73-$AN$74-$AN$75)*(1-DCF!$D$11))+$AN$69)/($AN$68+(((($AI102*$J$17)+$T$44+$T$45-$Z$43+$Z$45-$Z$47-$Z$48)/($AI102*$J$17))*($AI102/$AG$59)*$AG$62)))-$AN$67</f>
        <v>#DIV/0!</v>
      </c>
    </row>
    <row r="103" spans="34:40" x14ac:dyDescent="0.25">
      <c r="AH103" s="215" t="s">
        <v>340</v>
      </c>
      <c r="AI103" s="231">
        <f>J15</f>
        <v>0</v>
      </c>
      <c r="AJ103" s="219" t="e">
        <f ca="1">(((($AN$71+AJ$100-$AN$73-$AN$74-$AN$75)*(1-DCF!$D$11))+$AN$69)/($AN$68+(((($AI103*$J$17)+$T$44+$T$45-$Z$43+$Z$45-$Z$47-$Z$48)/($AI103*$J$17))*($AI103/$AG$59)*$AG$62)))-$AN$67</f>
        <v>#DIV/0!</v>
      </c>
      <c r="AK103" t="e">
        <f ca="1">(((($AN$71+AK$100-$AN$73-$AN$74-$AN$75)*(1-DCF!$D$11))+$AN$69)/($AN$68+(((($AI103*$J$17)+$T$44+$T$45-$Z$43+$Z$45-$Z$47-$Z$48)/($AI103*$J$17))*($AI103/$AG$59)*$AG$62)))-$AN$67</f>
        <v>#DIV/0!</v>
      </c>
      <c r="AL103" t="e">
        <f ca="1">(((($AN$71+AL$100-$AN$73-$AN$74-$AN$75)*(1-DCF!$D$11))+$AN$69)/($AN$68+(((($AI103*$J$17)+$T$44+$T$45-$Z$43+$Z$45-$Z$47-$Z$48)/($AI103*$J$17))*($AI103/$AG$59)*$AG$62)))-$AN$67</f>
        <v>#DIV/0!</v>
      </c>
      <c r="AM103" t="e">
        <f ca="1">(((($AN$71+AM$100-$AN$73-$AN$74-$AN$75)*(1-DCF!$D$11))+$AN$69)/($AN$68+(((($AI103*$J$17)+$T$44+$T$45-$Z$43+$Z$45-$Z$47-$Z$48)/($AI103*$J$17))*($AI103/$AG$59)*$AG$62)))-$AN$67</f>
        <v>#DIV/0!</v>
      </c>
      <c r="AN103" s="171" t="e">
        <f ca="1">(((($AN$71+AN$100-$AN$73-$AN$74-$AN$75)*(1-DCF!$D$11))+$AN$69)/($AN$68+(((($AI103*$J$17)+$T$44+$T$45-$Z$43+$Z$45-$Z$47-$Z$48)/($AI103*$J$17))*($AI103/$AG$59)*$AG$62)))-$AN$67</f>
        <v>#DIV/0!</v>
      </c>
    </row>
    <row r="104" spans="34:40" x14ac:dyDescent="0.25">
      <c r="AH104" s="215" t="s">
        <v>341</v>
      </c>
      <c r="AI104" s="231">
        <f>AI103+1</f>
        <v>1</v>
      </c>
      <c r="AJ104" s="219" t="e">
        <f ca="1">(((($AN$71+AJ$100-$AN$73-$AN$74-$AN$75)*(1-DCF!$D$11))+$AN$69)/($AN$68+(((($AI104*$J$17)+$T$44+$T$45-$Z$43+$Z$45-$Z$47-$Z$48)/($AI104*$J$17))*($AI104/$AG$59)*$AG$62)))-$AN$67</f>
        <v>#DIV/0!</v>
      </c>
      <c r="AK104" t="e">
        <f ca="1">(((($AN$71+AK$100-$AN$73-$AN$74-$AN$75)*(1-DCF!$D$11))+$AN$69)/($AN$68+(((($AI104*$J$17)+$T$44+$T$45-$Z$43+$Z$45-$Z$47-$Z$48)/($AI104*$J$17))*($AI104/$AG$59)*$AG$62)))-$AN$67</f>
        <v>#DIV/0!</v>
      </c>
      <c r="AL104" t="e">
        <f ca="1">(((($AN$71+AL$100-$AN$73-$AN$74-$AN$75)*(1-DCF!$D$11))+$AN$69)/($AN$68+(((($AI104*$J$17)+$T$44+$T$45-$Z$43+$Z$45-$Z$47-$Z$48)/($AI104*$J$17))*($AI104/$AG$59)*$AG$62)))-$AN$67</f>
        <v>#DIV/0!</v>
      </c>
      <c r="AM104" t="e">
        <f ca="1">(((($AN$71+AM$100-$AN$73-$AN$74-$AN$75)*(1-DCF!$D$11))+$AN$69)/($AN$68+(((($AI104*$J$17)+$T$44+$T$45-$Z$43+$Z$45-$Z$47-$Z$48)/($AI104*$J$17))*($AI104/$AG$59)*$AG$62)))-$AN$67</f>
        <v>#DIV/0!</v>
      </c>
      <c r="AN104" s="171" t="e">
        <f ca="1">(((($AN$71+AN$100-$AN$73-$AN$74-$AN$75)*(1-DCF!$D$11))+$AN$69)/($AN$68+(((($AI104*$J$17)+$T$44+$T$45-$Z$43+$Z$45-$Z$47-$Z$48)/($AI104*$J$17))*($AI104/$AG$59)*$AG$62)))-$AN$67</f>
        <v>#DIV/0!</v>
      </c>
    </row>
    <row r="105" spans="34:40" ht="15.75" thickBot="1" x14ac:dyDescent="0.3">
      <c r="AH105" s="174"/>
      <c r="AI105" s="216">
        <f t="shared" ref="AI105" si="10">AI104+1</f>
        <v>2</v>
      </c>
      <c r="AJ105" s="220" t="e">
        <f ca="1">(((($AN$71+AJ$100-$AN$73-$AN$74-$AN$75)*(1-DCF!$D$11))+$AN$69)/($AN$68+(((($AI105*$J$17)+$T$44+$T$45-$Z$43+$Z$45-$Z$47-$Z$48)/($AI105*$J$17))*($AI105/$AG$59)*$AG$62)))-$AN$67</f>
        <v>#DIV/0!</v>
      </c>
      <c r="AK105" s="175" t="e">
        <f ca="1">(((($AN$71+AK$100-$AN$73-$AN$74-$AN$75)*(1-DCF!$D$11))+$AN$69)/($AN$68+(((($AI105*$J$17)+$T$44+$T$45-$Z$43+$Z$45-$Z$47-$Z$48)/($AI105*$J$17))*($AI105/$AG$59)*$AG$62)))-$AN$67</f>
        <v>#DIV/0!</v>
      </c>
      <c r="AL105" s="175" t="e">
        <f ca="1">(((($AN$71+AL$100-$AN$73-$AN$74-$AN$75)*(1-DCF!$D$11))+$AN$69)/($AN$68+(((($AI105*$J$17)+$T$44+$T$45-$Z$43+$Z$45-$Z$47-$Z$48)/($AI105*$J$17))*($AI105/$AG$59)*$AG$62)))-$AN$67</f>
        <v>#DIV/0!</v>
      </c>
      <c r="AM105" s="175" t="e">
        <f ca="1">(((($AN$71+AM$100-$AN$73-$AN$74-$AN$75)*(1-DCF!$D$11))+$AN$69)/($AN$68+(((($AI105*$J$17)+$T$44+$T$45-$Z$43+$Z$45-$Z$47-$Z$48)/($AI105*$J$17))*($AI105/$AG$59)*$AG$62)))-$AN$67</f>
        <v>#DIV/0!</v>
      </c>
      <c r="AN105" s="217" t="e">
        <f ca="1">(((($AN$71+AN$100-$AN$73-$AN$74-$AN$75)*(1-DCF!$D$11))+$AN$69)/($AN$68+(((($AI105*$J$17)+$T$44+$T$45-$Z$43+$Z$45-$Z$47-$Z$48)/($AI105*$J$17))*($AI105/$AG$59)*$AG$62)))-$AN$67</f>
        <v>#DIV/0!</v>
      </c>
    </row>
  </sheetData>
  <conditionalFormatting sqref="AJ101:AN105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BacktoHub">
                <anchor moveWithCells="1" sizeWithCells="1">
                  <from>
                    <xdr:col>7</xdr:col>
                    <xdr:colOff>47625</xdr:colOff>
                    <xdr:row>3</xdr:row>
                    <xdr:rowOff>0</xdr:rowOff>
                  </from>
                  <to>
                    <xdr:col>9</xdr:col>
                    <xdr:colOff>19050</xdr:colOff>
                    <xdr:row>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4" name="Button 2">
              <controlPr defaultSize="0" print="0" autoFill="0" autoPict="0" macro="[0]!BacktoHub">
                <anchor moveWithCells="1" sizeWithCells="1">
                  <from>
                    <xdr:col>30</xdr:col>
                    <xdr:colOff>266700</xdr:colOff>
                    <xdr:row>77</xdr:row>
                    <xdr:rowOff>28575</xdr:rowOff>
                  </from>
                  <to>
                    <xdr:col>32</xdr:col>
                    <xdr:colOff>238125</xdr:colOff>
                    <xdr:row>80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2432A3-D59E-411E-9086-72D985B63757}">
  <sheetPr codeName="Sheet18">
    <tabColor rgb="FF0070C0"/>
  </sheetPr>
  <dimension ref="A1"/>
  <sheetViews>
    <sheetView workbookViewId="0">
      <selection activeCell="R31" sqref="R31"/>
    </sheetView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040365-C7AB-4EF7-80AF-AA86B76002CA}">
  <sheetPr codeName="Sheet19"/>
  <dimension ref="B2:Y75"/>
  <sheetViews>
    <sheetView topLeftCell="A21" zoomScaleNormal="100" workbookViewId="0">
      <selection activeCell="H27" sqref="H27:R27"/>
    </sheetView>
  </sheetViews>
  <sheetFormatPr defaultRowHeight="15" x14ac:dyDescent="0.25"/>
  <cols>
    <col min="2" max="2" width="32.42578125" customWidth="1"/>
    <col min="3" max="3" width="12" customWidth="1"/>
    <col min="4" max="18" width="11.5703125" bestFit="1" customWidth="1"/>
    <col min="21" max="25" width="12.42578125" bestFit="1" customWidth="1"/>
  </cols>
  <sheetData>
    <row r="2" spans="2:18" ht="15.75" thickBot="1" x14ac:dyDescent="0.3">
      <c r="B2" s="6" t="str">
        <f>IF(Hub!N4="No", Hub!R6, Hub!D6)</f>
        <v>CAESARS ENTERTAINMENT INC</v>
      </c>
      <c r="C2" s="6" t="s">
        <v>296</v>
      </c>
      <c r="D2" s="19"/>
      <c r="E2" s="19"/>
      <c r="F2" s="19"/>
      <c r="G2" s="19"/>
      <c r="H2" s="19"/>
      <c r="I2" s="19"/>
      <c r="J2" s="19"/>
      <c r="K2" s="19"/>
      <c r="L2" s="19"/>
      <c r="M2" s="19"/>
      <c r="N2" s="19"/>
      <c r="O2" s="19"/>
      <c r="P2" s="19"/>
      <c r="Q2" s="19"/>
      <c r="R2" s="19"/>
    </row>
    <row r="3" spans="2:18" ht="15.75" thickTop="1" x14ac:dyDescent="0.25">
      <c r="B3" t="str">
        <f>DCF!C3</f>
        <v>All Figures in USD Millions, expect for per share data</v>
      </c>
    </row>
    <row r="4" spans="2:18" x14ac:dyDescent="0.25">
      <c r="B4" t="s">
        <v>74</v>
      </c>
      <c r="G4" s="117" t="str">
        <f>IF(Dashboard!I3="Yes", "Dashboard Master Override Enabled", "Dashboard Master Override Disabled")</f>
        <v>Dashboard Master Override Disabled</v>
      </c>
    </row>
    <row r="7" spans="2:18" x14ac:dyDescent="0.25">
      <c r="B7" s="2" t="s">
        <v>75</v>
      </c>
      <c r="C7" s="2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</row>
    <row r="9" spans="2:18" x14ac:dyDescent="0.25">
      <c r="B9" t="s">
        <v>76</v>
      </c>
      <c r="C9" s="20">
        <f ca="1">IF(ISBLANK(Hub!D10), TODAY(), Hub!D10)</f>
        <v>45493</v>
      </c>
      <c r="E9" t="s">
        <v>77</v>
      </c>
      <c r="H9" s="260">
        <f>H23</f>
        <v>9031</v>
      </c>
      <c r="J9" t="s">
        <v>35</v>
      </c>
      <c r="M9" s="119">
        <f>IF(Dashboard!I3="Yes", Dashboard!E8, Hub!D23)</f>
        <v>0.02</v>
      </c>
    </row>
    <row r="10" spans="2:18" x14ac:dyDescent="0.25">
      <c r="B10" t="s">
        <v>78</v>
      </c>
      <c r="C10" s="20">
        <f ca="1">IF(ISBLANK(Hub!D11), DATE(YEAR(C9)-1,12,31),Hub!D11)</f>
        <v>45291</v>
      </c>
      <c r="E10" t="str">
        <f>DCF!F10</f>
        <v>Terminal EBITDA Multiple</v>
      </c>
      <c r="H10" s="335">
        <f>DCF!I10</f>
        <v>8.9217673412850083</v>
      </c>
      <c r="J10" t="s">
        <v>10</v>
      </c>
      <c r="M10" s="260">
        <f>IF(Dashboard!I3="YES", Dashboard!J8, IF(Hub!N4="No", Hub!V7, Hub!H7))</f>
        <v>216.41549999999998</v>
      </c>
    </row>
    <row r="11" spans="2:18" x14ac:dyDescent="0.25">
      <c r="B11" t="s">
        <v>14</v>
      </c>
      <c r="C11" s="104">
        <f>Hub!H10</f>
        <v>0.21</v>
      </c>
      <c r="E11" t="s">
        <v>46</v>
      </c>
      <c r="H11" s="119">
        <f>IF(Dashboard!I3="Yes", Dashboard!E6, IF(ISBLANK(Hub!D44), WACC_Calculator!D4, Hub!D44))</f>
        <v>8.0848911765504614E-2</v>
      </c>
      <c r="J11" t="s">
        <v>79</v>
      </c>
      <c r="M11" s="135">
        <f>IF(Hub!N4="No", Hub!V6, Hub!H6)</f>
        <v>36.869999999999997</v>
      </c>
    </row>
    <row r="12" spans="2:18" x14ac:dyDescent="0.25">
      <c r="B12" s="85" t="s">
        <v>395</v>
      </c>
      <c r="C12" s="325">
        <f>Hub!H11</f>
        <v>2.1877339999999999E-2</v>
      </c>
      <c r="E12" t="s">
        <v>47</v>
      </c>
      <c r="H12" s="119">
        <f>IF(Dashboard!I3="Yes", Dashboard!E7, IF(ISBLANK(Hub!D45), IF(ISBLANK(Hub!D44), WACC_Calculator!D4, Hub!D44), Hub!D45))</f>
        <v>8.0848911765504614E-2</v>
      </c>
      <c r="J12" t="s">
        <v>36</v>
      </c>
      <c r="M12" s="325">
        <f>IF(Dashboard!I3="YES", Dashboard!J6, Hub!H22)</f>
        <v>4.1673549999999997E-2</v>
      </c>
    </row>
    <row r="13" spans="2:18" x14ac:dyDescent="0.25">
      <c r="B13" t="s">
        <v>240</v>
      </c>
      <c r="C13" s="119">
        <f>IF(Dashboard!I3="Yes", Dashboard!O6, Hub!T23)</f>
        <v>0</v>
      </c>
      <c r="E13" t="s">
        <v>241</v>
      </c>
      <c r="H13" s="119">
        <f>IF(Dashboard!I3="Yes", Dashboard!O7, Hub!T24)</f>
        <v>0</v>
      </c>
      <c r="J13" t="s">
        <v>242</v>
      </c>
      <c r="M13" s="119">
        <f>IF(Dashboard!I3="Yes", Dashboard!O8, Hub!T25)</f>
        <v>0</v>
      </c>
    </row>
    <row r="15" spans="2:18" x14ac:dyDescent="0.25">
      <c r="D15" s="5"/>
      <c r="E15" s="1"/>
      <c r="F15" s="146" t="s">
        <v>80</v>
      </c>
      <c r="G15" s="1"/>
      <c r="H15" s="1"/>
      <c r="I15" s="4"/>
      <c r="J15" s="3"/>
      <c r="K15" s="3"/>
      <c r="L15" s="3"/>
      <c r="M15" s="341" t="s">
        <v>81</v>
      </c>
      <c r="N15" s="3"/>
      <c r="O15" s="3"/>
      <c r="P15" s="3"/>
      <c r="Q15" s="3"/>
      <c r="R15" s="3"/>
    </row>
    <row r="16" spans="2:18" x14ac:dyDescent="0.25">
      <c r="D16" s="7">
        <f ca="1">YEAR(D17)</f>
        <v>2019</v>
      </c>
      <c r="E16" s="7">
        <f t="shared" ref="E16:H16" ca="1" si="0">YEAR(E17)</f>
        <v>2020</v>
      </c>
      <c r="F16" s="7">
        <f t="shared" ca="1" si="0"/>
        <v>2021</v>
      </c>
      <c r="G16" s="7">
        <f t="shared" ca="1" si="0"/>
        <v>2022</v>
      </c>
      <c r="H16" s="7">
        <f t="shared" ca="1" si="0"/>
        <v>2023</v>
      </c>
      <c r="I16" s="8">
        <f ca="1">YEAR(I17)</f>
        <v>2024</v>
      </c>
      <c r="J16" s="8">
        <f t="shared" ref="J16:R16" ca="1" si="1">YEAR(J17)</f>
        <v>2025</v>
      </c>
      <c r="K16" s="8">
        <f t="shared" ca="1" si="1"/>
        <v>2026</v>
      </c>
      <c r="L16" s="8">
        <f t="shared" ca="1" si="1"/>
        <v>2027</v>
      </c>
      <c r="M16" s="8">
        <f t="shared" ca="1" si="1"/>
        <v>2028</v>
      </c>
      <c r="N16" s="8">
        <f t="shared" ca="1" si="1"/>
        <v>2029</v>
      </c>
      <c r="O16" s="8">
        <f t="shared" ca="1" si="1"/>
        <v>2030</v>
      </c>
      <c r="P16" s="8">
        <f t="shared" ca="1" si="1"/>
        <v>2031</v>
      </c>
      <c r="Q16" s="8">
        <f t="shared" ca="1" si="1"/>
        <v>2032</v>
      </c>
      <c r="R16" s="8">
        <f t="shared" ca="1" si="1"/>
        <v>2033</v>
      </c>
    </row>
    <row r="17" spans="2:18" x14ac:dyDescent="0.25">
      <c r="D17" s="9">
        <f t="shared" ref="D17:F17" ca="1" si="2">EOMONTH(E17,-12)</f>
        <v>43830</v>
      </c>
      <c r="E17" s="9">
        <f t="shared" ca="1" si="2"/>
        <v>44196</v>
      </c>
      <c r="F17" s="9">
        <f t="shared" ca="1" si="2"/>
        <v>44561</v>
      </c>
      <c r="G17" s="9">
        <f ca="1">EOMONTH(H17,-12)</f>
        <v>44926</v>
      </c>
      <c r="H17" s="9">
        <f ca="1">C10</f>
        <v>45291</v>
      </c>
      <c r="I17" s="9">
        <f ca="1">EOMONTH(H17,12)</f>
        <v>45657</v>
      </c>
      <c r="J17" s="9">
        <f t="shared" ref="J17:M17" ca="1" si="3">EOMONTH(I17,12)</f>
        <v>46022</v>
      </c>
      <c r="K17" s="9">
        <f t="shared" ca="1" si="3"/>
        <v>46387</v>
      </c>
      <c r="L17" s="9">
        <f t="shared" ca="1" si="3"/>
        <v>46752</v>
      </c>
      <c r="M17" s="9">
        <f t="shared" ca="1" si="3"/>
        <v>47118</v>
      </c>
      <c r="N17" s="9">
        <f t="shared" ref="N17" ca="1" si="4">EOMONTH(M17,12)</f>
        <v>47483</v>
      </c>
      <c r="O17" s="9">
        <f t="shared" ref="O17" ca="1" si="5">EOMONTH(N17,12)</f>
        <v>47848</v>
      </c>
      <c r="P17" s="9">
        <f t="shared" ref="P17" ca="1" si="6">EOMONTH(O17,12)</f>
        <v>48213</v>
      </c>
      <c r="Q17" s="9">
        <f t="shared" ref="Q17" ca="1" si="7">EOMONTH(P17,12)</f>
        <v>48579</v>
      </c>
      <c r="R17" s="9">
        <f t="shared" ref="R17" ca="1" si="8">EOMONTH(Q17,12)</f>
        <v>48944</v>
      </c>
    </row>
    <row r="18" spans="2:18" x14ac:dyDescent="0.25">
      <c r="B18" s="2" t="s">
        <v>82</v>
      </c>
      <c r="C18" s="2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</row>
    <row r="20" spans="2:18" x14ac:dyDescent="0.25">
      <c r="B20" s="10" t="s">
        <v>83</v>
      </c>
      <c r="D20" s="261">
        <f>Revenue_Build!D36</f>
        <v>2528</v>
      </c>
      <c r="E20" s="261">
        <f>Revenue_Build!E36</f>
        <v>3628</v>
      </c>
      <c r="F20" s="261">
        <f>Revenue_Build!F36</f>
        <v>9570</v>
      </c>
      <c r="G20" s="261">
        <f>Revenue_Build!G36</f>
        <v>10821</v>
      </c>
      <c r="H20" s="261">
        <f>Revenue_Build!H36</f>
        <v>11528</v>
      </c>
      <c r="I20" s="261">
        <f>Revenue_Build!I36*(1+$C13)</f>
        <v>15902.995400604828</v>
      </c>
      <c r="J20" s="261">
        <f>Revenue_Build!J36*(1+$C13)</f>
        <v>22095.14461812477</v>
      </c>
      <c r="K20" s="261">
        <f>Revenue_Build!K36*(1+$C13)</f>
        <v>30929.375644418011</v>
      </c>
      <c r="L20" s="261">
        <f>Revenue_Build!L36*(1+$C13)</f>
        <v>43635.406367496049</v>
      </c>
      <c r="M20" s="261">
        <f>Revenue_Build!M36*(1+$C13)</f>
        <v>62059.101504694299</v>
      </c>
      <c r="N20" s="261">
        <f>Revenue_Build!N36*(1+$C13)</f>
        <v>88989.474612517981</v>
      </c>
      <c r="O20" s="261">
        <f>Revenue_Build!O36*(1+$C13)</f>
        <v>128666.82045432176</v>
      </c>
      <c r="P20" s="261">
        <f>Revenue_Build!P36*(1+$C13)</f>
        <v>187575.48423949748</v>
      </c>
      <c r="Q20" s="261">
        <f>Revenue_Build!Q36*(1+$C13)</f>
        <v>275685.27897789812</v>
      </c>
      <c r="R20" s="261">
        <f>Revenue_Build!R36*(1+$C13)</f>
        <v>408402.02663502889</v>
      </c>
    </row>
    <row r="21" spans="2:18" x14ac:dyDescent="0.25">
      <c r="B21" s="11" t="s">
        <v>84</v>
      </c>
      <c r="D21" s="66" t="s">
        <v>85</v>
      </c>
      <c r="E21" s="14">
        <f>(E20-D20)/D20</f>
        <v>0.435126582278481</v>
      </c>
      <c r="F21" s="14">
        <f t="shared" ref="F21:M21" si="9">(F20-E20)/E20</f>
        <v>1.6378169790518191</v>
      </c>
      <c r="G21" s="14">
        <f t="shared" si="9"/>
        <v>0.13072100313479623</v>
      </c>
      <c r="H21" s="14">
        <f t="shared" si="9"/>
        <v>6.5335920894556879E-2</v>
      </c>
      <c r="I21" s="14">
        <f t="shared" si="9"/>
        <v>0.37951035744316691</v>
      </c>
      <c r="J21" s="14">
        <f t="shared" si="9"/>
        <v>0.3893699936104138</v>
      </c>
      <c r="K21" s="14">
        <f t="shared" si="9"/>
        <v>0.39982680262913833</v>
      </c>
      <c r="L21" s="14">
        <f t="shared" si="9"/>
        <v>0.41080786334499331</v>
      </c>
      <c r="M21" s="14">
        <f t="shared" si="9"/>
        <v>0.42221894261816784</v>
      </c>
      <c r="N21" s="14">
        <f t="shared" ref="N21" si="10">(N20-M20)/M20</f>
        <v>0.43394719637999596</v>
      </c>
      <c r="O21" s="14">
        <f t="shared" ref="O21" si="11">(O20-N20)/N20</f>
        <v>0.44586560393314695</v>
      </c>
      <c r="P21" s="14">
        <f t="shared" ref="P21" si="12">(P20-O20)/O20</f>
        <v>0.45783880861569126</v>
      </c>
      <c r="Q21" s="14">
        <f t="shared" ref="Q21" si="13">(Q20-P20)/P20</f>
        <v>0.46972980022219502</v>
      </c>
      <c r="R21" s="14">
        <f t="shared" ref="R21" si="14">(R20-Q20)/Q20</f>
        <v>0.48140672635542048</v>
      </c>
    </row>
    <row r="23" spans="2:18" x14ac:dyDescent="0.25">
      <c r="B23" s="10" t="s">
        <v>405</v>
      </c>
      <c r="D23" s="261">
        <f>Operating_Model!E122</f>
        <v>1870.0959999999998</v>
      </c>
      <c r="E23" s="261">
        <f>Operating_Model!F122</f>
        <v>2764</v>
      </c>
      <c r="F23" s="261">
        <f>Operating_Model!G122</f>
        <v>7482</v>
      </c>
      <c r="G23" s="261">
        <f>Operating_Model!H122</f>
        <v>8326</v>
      </c>
      <c r="H23" s="261">
        <f>Operating_Model!I122</f>
        <v>9031</v>
      </c>
      <c r="I23" s="242" t="e">
        <f ca="1">DCF_Synergies!I20-((Operating_Model!J69)*(1-DCF_Synergies!$H13)+(Operating_Model!J98)*(1-DCF_Synergies!$M13))+Operating_Model!J110+Operating_Model!J118</f>
        <v>#DIV/0!</v>
      </c>
      <c r="J23" s="242" t="e">
        <f ca="1">DCF_Synergies!J20-((Operating_Model!K69)*(1-DCF_Synergies!$H13)+(Operating_Model!K98)*(1-DCF_Synergies!$M13))+Operating_Model!K110+Operating_Model!K118</f>
        <v>#DIV/0!</v>
      </c>
      <c r="K23" s="242" t="e">
        <f ca="1">DCF_Synergies!K20-((Operating_Model!L69)*(1-DCF_Synergies!$H13)+(Operating_Model!L98)*(1-DCF_Synergies!$M13))+Operating_Model!L110+Operating_Model!L118</f>
        <v>#DIV/0!</v>
      </c>
      <c r="L23" s="242" t="e">
        <f ca="1">DCF_Synergies!L20-((Operating_Model!M69)*(1-DCF_Synergies!$H13)+(Operating_Model!M98)*(1-DCF_Synergies!$M13))+Operating_Model!M110+Operating_Model!M118</f>
        <v>#DIV/0!</v>
      </c>
      <c r="M23" s="242" t="e">
        <f ca="1">DCF_Synergies!M20-((Operating_Model!N69)*(1-DCF_Synergies!$H13)+(Operating_Model!N98)*(1-DCF_Synergies!$M13))+Operating_Model!N110+Operating_Model!N118</f>
        <v>#DIV/0!</v>
      </c>
      <c r="N23" s="242" t="e">
        <f ca="1">DCF_Synergies!N20-((Operating_Model!O69)*(1-DCF_Synergies!$H13)+(Operating_Model!O98)*(1-DCF_Synergies!$M13))+Operating_Model!O110+Operating_Model!O118</f>
        <v>#DIV/0!</v>
      </c>
      <c r="O23" s="242" t="e">
        <f ca="1">DCF_Synergies!O20-((Operating_Model!P69)*(1-DCF_Synergies!$H13)+(Operating_Model!P98)*(1-DCF_Synergies!$M13))+Operating_Model!P110+Operating_Model!P118</f>
        <v>#DIV/0!</v>
      </c>
      <c r="P23" s="242" t="e">
        <f ca="1">DCF_Synergies!P20-((Operating_Model!Q69)*(1-DCF_Synergies!$H13)+(Operating_Model!Q98)*(1-DCF_Synergies!$M13))+Operating_Model!Q110+Operating_Model!Q118</f>
        <v>#DIV/0!</v>
      </c>
      <c r="Q23" s="242" t="e">
        <f ca="1">DCF_Synergies!Q20-((Operating_Model!R69)*(1-DCF_Synergies!$H13)+(Operating_Model!R98)*(1-DCF_Synergies!$M13))+Operating_Model!R110+Operating_Model!R118</f>
        <v>#DIV/0!</v>
      </c>
      <c r="R23" s="242" t="e">
        <f ca="1">DCF_Synergies!R20-((Operating_Model!S69)*(1-DCF_Synergies!$H13)+(Operating_Model!S98)*(1-DCF_Synergies!$M13))+Operating_Model!S110+Operating_Model!S118</f>
        <v>#DIV/0!</v>
      </c>
    </row>
    <row r="24" spans="2:18" x14ac:dyDescent="0.25">
      <c r="B24" s="11" t="s">
        <v>86</v>
      </c>
      <c r="D24" s="15">
        <f t="shared" ref="D24:M24" si="15">D23/D20</f>
        <v>0.73975316455696194</v>
      </c>
      <c r="E24" s="15">
        <f t="shared" si="15"/>
        <v>0.76185226019845642</v>
      </c>
      <c r="F24" s="15">
        <f t="shared" si="15"/>
        <v>0.78181818181818186</v>
      </c>
      <c r="G24" s="15">
        <f t="shared" si="15"/>
        <v>0.7694298124018113</v>
      </c>
      <c r="H24" s="15">
        <f t="shared" si="15"/>
        <v>0.78339694656488545</v>
      </c>
      <c r="I24" s="15" t="e">
        <f t="shared" ca="1" si="15"/>
        <v>#DIV/0!</v>
      </c>
      <c r="J24" s="15" t="e">
        <f t="shared" ca="1" si="15"/>
        <v>#DIV/0!</v>
      </c>
      <c r="K24" s="15" t="e">
        <f t="shared" ca="1" si="15"/>
        <v>#DIV/0!</v>
      </c>
      <c r="L24" s="15" t="e">
        <f t="shared" ca="1" si="15"/>
        <v>#DIV/0!</v>
      </c>
      <c r="M24" s="15" t="e">
        <f t="shared" ca="1" si="15"/>
        <v>#DIV/0!</v>
      </c>
      <c r="N24" s="15" t="e">
        <f t="shared" ref="N24:R24" ca="1" si="16">N23/N20</f>
        <v>#DIV/0!</v>
      </c>
      <c r="O24" s="15" t="e">
        <f t="shared" ca="1" si="16"/>
        <v>#DIV/0!</v>
      </c>
      <c r="P24" s="15" t="e">
        <f t="shared" ca="1" si="16"/>
        <v>#DIV/0!</v>
      </c>
      <c r="Q24" s="15" t="e">
        <f t="shared" ca="1" si="16"/>
        <v>#DIV/0!</v>
      </c>
      <c r="R24" s="15" t="e">
        <f t="shared" ca="1" si="16"/>
        <v>#DIV/0!</v>
      </c>
    </row>
    <row r="25" spans="2:18" x14ac:dyDescent="0.25">
      <c r="D25" s="234"/>
      <c r="E25" s="234"/>
      <c r="F25" s="234"/>
      <c r="G25" s="234"/>
      <c r="H25" s="234"/>
      <c r="I25" s="234"/>
      <c r="J25" s="234"/>
      <c r="K25" s="234"/>
      <c r="L25" s="234"/>
      <c r="M25" s="234"/>
      <c r="N25" s="234"/>
      <c r="O25" s="234"/>
      <c r="P25" s="234"/>
      <c r="Q25" s="234"/>
      <c r="R25" s="234"/>
    </row>
    <row r="26" spans="2:18" x14ac:dyDescent="0.25">
      <c r="B26" s="12" t="s">
        <v>87</v>
      </c>
      <c r="C26" s="21"/>
      <c r="D26" s="262">
        <f>D23-Operating_Model!E110-Operating_Model!E118</f>
        <v>1585.9759999999999</v>
      </c>
      <c r="E26" s="262">
        <f>E23-Operating_Model!F110-Operating_Model!F118</f>
        <v>2078</v>
      </c>
      <c r="F26" s="262">
        <f>F23-Operating_Model!G110-Operating_Model!G118</f>
        <v>6124</v>
      </c>
      <c r="G26" s="262">
        <f>G23-Operating_Model!H110-Operating_Model!H118</f>
        <v>6851</v>
      </c>
      <c r="H26" s="262">
        <f>H23-Operating_Model!I110-Operating_Model!I118</f>
        <v>7515</v>
      </c>
      <c r="I26" s="262" t="e">
        <f ca="1">I23-Operating_Model!J110-Operating_Model!J118</f>
        <v>#DIV/0!</v>
      </c>
      <c r="J26" s="262" t="e">
        <f ca="1">J23-Operating_Model!K110-Operating_Model!K118</f>
        <v>#DIV/0!</v>
      </c>
      <c r="K26" s="262" t="e">
        <f ca="1">K23-Operating_Model!L110-Operating_Model!L118</f>
        <v>#DIV/0!</v>
      </c>
      <c r="L26" s="262" t="e">
        <f ca="1">L23-Operating_Model!M110-Operating_Model!M118</f>
        <v>#DIV/0!</v>
      </c>
      <c r="M26" s="262" t="e">
        <f ca="1">M23-Operating_Model!N110-Operating_Model!N118</f>
        <v>#DIV/0!</v>
      </c>
      <c r="N26" s="262" t="e">
        <f ca="1">N23-Operating_Model!O110-Operating_Model!O118</f>
        <v>#DIV/0!</v>
      </c>
      <c r="O26" s="262" t="e">
        <f ca="1">O23-Operating_Model!P110-Operating_Model!P118</f>
        <v>#DIV/0!</v>
      </c>
      <c r="P26" s="262" t="e">
        <f ca="1">P23-Operating_Model!Q110-Operating_Model!Q118</f>
        <v>#DIV/0!</v>
      </c>
      <c r="Q26" s="262" t="e">
        <f ca="1">Q23-Operating_Model!R110-Operating_Model!R118</f>
        <v>#DIV/0!</v>
      </c>
      <c r="R26" s="262" t="e">
        <f ca="1">R23-Operating_Model!S110-Operating_Model!S118</f>
        <v>#DIV/0!</v>
      </c>
    </row>
    <row r="27" spans="2:18" x14ac:dyDescent="0.25">
      <c r="B27" t="s">
        <v>88</v>
      </c>
      <c r="D27" s="234">
        <f>Operating_Model!E151</f>
        <v>51.282480000000007</v>
      </c>
      <c r="E27" s="234">
        <f>Operating_Model!F151</f>
        <v>249.18</v>
      </c>
      <c r="F27" s="234">
        <f>Operating_Model!G151</f>
        <v>-216.64</v>
      </c>
      <c r="G27" s="234">
        <f>Operating_Model!H151</f>
        <v>2.4699999999999989</v>
      </c>
      <c r="H27" s="234">
        <f>Operating_Model!I151</f>
        <v>-828.78</v>
      </c>
      <c r="I27" s="234" t="e">
        <f ca="1">Operating_Model!J151</f>
        <v>#DIV/0!</v>
      </c>
      <c r="J27" s="234" t="e">
        <f ca="1">Operating_Model!K151</f>
        <v>#DIV/0!</v>
      </c>
      <c r="K27" s="234" t="e">
        <f ca="1">Operating_Model!L151</f>
        <v>#DIV/0!</v>
      </c>
      <c r="L27" s="234" t="e">
        <f ca="1">Operating_Model!M151</f>
        <v>#DIV/0!</v>
      </c>
      <c r="M27" s="234" t="e">
        <f ca="1">Operating_Model!N151</f>
        <v>#DIV/0!</v>
      </c>
      <c r="N27" s="234" t="e">
        <f ca="1">Operating_Model!O151</f>
        <v>#DIV/0!</v>
      </c>
      <c r="O27" s="234" t="e">
        <f ca="1">Operating_Model!P151</f>
        <v>#DIV/0!</v>
      </c>
      <c r="P27" s="234" t="e">
        <f ca="1">Operating_Model!Q151</f>
        <v>#DIV/0!</v>
      </c>
      <c r="Q27" s="234" t="e">
        <f ca="1">Operating_Model!R151</f>
        <v>#DIV/0!</v>
      </c>
      <c r="R27" s="234" t="e">
        <f ca="1">Operating_Model!S151</f>
        <v>#DIV/0!</v>
      </c>
    </row>
    <row r="28" spans="2:18" x14ac:dyDescent="0.25">
      <c r="B28" s="10" t="s">
        <v>89</v>
      </c>
      <c r="D28" s="261">
        <f>D26-D27</f>
        <v>1534.6935199999998</v>
      </c>
      <c r="E28" s="261">
        <f t="shared" ref="E28:M28" si="17">E26-E27</f>
        <v>1828.82</v>
      </c>
      <c r="F28" s="261">
        <f t="shared" si="17"/>
        <v>6340.64</v>
      </c>
      <c r="G28" s="261">
        <f t="shared" si="17"/>
        <v>6848.53</v>
      </c>
      <c r="H28" s="261">
        <f t="shared" si="17"/>
        <v>8343.7800000000007</v>
      </c>
      <c r="I28" s="261" t="e">
        <f ca="1">I26-I27</f>
        <v>#DIV/0!</v>
      </c>
      <c r="J28" s="261" t="e">
        <f t="shared" ca="1" si="17"/>
        <v>#DIV/0!</v>
      </c>
      <c r="K28" s="261" t="e">
        <f t="shared" ca="1" si="17"/>
        <v>#DIV/0!</v>
      </c>
      <c r="L28" s="261" t="e">
        <f t="shared" ca="1" si="17"/>
        <v>#DIV/0!</v>
      </c>
      <c r="M28" s="261" t="e">
        <f t="shared" ca="1" si="17"/>
        <v>#DIV/0!</v>
      </c>
      <c r="N28" s="261" t="e">
        <f t="shared" ref="N28:R28" ca="1" si="18">N26-N27</f>
        <v>#DIV/0!</v>
      </c>
      <c r="O28" s="261" t="e">
        <f t="shared" ca="1" si="18"/>
        <v>#DIV/0!</v>
      </c>
      <c r="P28" s="261" t="e">
        <f t="shared" ca="1" si="18"/>
        <v>#DIV/0!</v>
      </c>
      <c r="Q28" s="261" t="e">
        <f t="shared" ca="1" si="18"/>
        <v>#DIV/0!</v>
      </c>
      <c r="R28" s="261" t="e">
        <f t="shared" ca="1" si="18"/>
        <v>#DIV/0!</v>
      </c>
    </row>
    <row r="29" spans="2:18" x14ac:dyDescent="0.25">
      <c r="B29" t="s">
        <v>90</v>
      </c>
      <c r="D29" s="234">
        <f>Operating_Model!E110</f>
        <v>221.52499999999998</v>
      </c>
      <c r="E29" s="234">
        <f>Operating_Model!F110</f>
        <v>583</v>
      </c>
      <c r="F29" s="234">
        <f>Operating_Model!G110</f>
        <v>1126</v>
      </c>
      <c r="G29" s="234">
        <f>Operating_Model!H110</f>
        <v>1205</v>
      </c>
      <c r="H29" s="234">
        <f>Operating_Model!I110</f>
        <v>1261</v>
      </c>
      <c r="I29" s="234" t="e">
        <f ca="1">Operating_Model!J110</f>
        <v>#DIV/0!</v>
      </c>
      <c r="J29" s="234" t="e">
        <f ca="1">Operating_Model!K110</f>
        <v>#DIV/0!</v>
      </c>
      <c r="K29" s="234" t="e">
        <f ca="1">Operating_Model!L110</f>
        <v>#DIV/0!</v>
      </c>
      <c r="L29" s="234" t="e">
        <f ca="1">Operating_Model!M110</f>
        <v>#DIV/0!</v>
      </c>
      <c r="M29" s="234" t="e">
        <f ca="1">Operating_Model!N110</f>
        <v>#DIV/0!</v>
      </c>
      <c r="N29" s="234" t="e">
        <f ca="1">Operating_Model!O110</f>
        <v>#DIV/0!</v>
      </c>
      <c r="O29" s="234" t="e">
        <f ca="1">Operating_Model!P110</f>
        <v>#DIV/0!</v>
      </c>
      <c r="P29" s="234" t="e">
        <f ca="1">Operating_Model!Q110</f>
        <v>#DIV/0!</v>
      </c>
      <c r="Q29" s="234" t="e">
        <f ca="1">Operating_Model!R110</f>
        <v>#DIV/0!</v>
      </c>
      <c r="R29" s="234" t="e">
        <f ca="1">Operating_Model!S110</f>
        <v>#DIV/0!</v>
      </c>
    </row>
    <row r="30" spans="2:18" x14ac:dyDescent="0.25">
      <c r="B30" t="s">
        <v>91</v>
      </c>
      <c r="D30" s="241">
        <f>DCF!E30</f>
        <v>170.76599999999999</v>
      </c>
      <c r="E30" s="241">
        <f>DCF!F30</f>
        <v>199</v>
      </c>
      <c r="F30" s="241">
        <f>DCF!G30</f>
        <v>832</v>
      </c>
      <c r="G30" s="241">
        <f>DCF!H30</f>
        <v>963</v>
      </c>
      <c r="H30" s="241">
        <f>DCF!I30</f>
        <v>1294</v>
      </c>
      <c r="I30" s="234" t="e">
        <f ca="1">'D&amp;A+CAPEX'!J45</f>
        <v>#DIV/0!</v>
      </c>
      <c r="J30" s="234" t="e">
        <f ca="1">'D&amp;A+CAPEX'!K45</f>
        <v>#DIV/0!</v>
      </c>
      <c r="K30" s="234" t="e">
        <f ca="1">'D&amp;A+CAPEX'!L45</f>
        <v>#DIV/0!</v>
      </c>
      <c r="L30" s="234" t="e">
        <f ca="1">'D&amp;A+CAPEX'!M45</f>
        <v>#DIV/0!</v>
      </c>
      <c r="M30" s="234" t="e">
        <f ca="1">'D&amp;A+CAPEX'!N45</f>
        <v>#DIV/0!</v>
      </c>
      <c r="N30" s="234" t="e">
        <f ca="1">'D&amp;A+CAPEX'!O45</f>
        <v>#DIV/0!</v>
      </c>
      <c r="O30" s="234" t="e">
        <f ca="1">'D&amp;A+CAPEX'!P45</f>
        <v>#DIV/0!</v>
      </c>
      <c r="P30" s="234" t="e">
        <f ca="1">'D&amp;A+CAPEX'!Q45</f>
        <v>#DIV/0!</v>
      </c>
      <c r="Q30" s="234" t="e">
        <f ca="1">'D&amp;A+CAPEX'!R45</f>
        <v>#DIV/0!</v>
      </c>
      <c r="R30" s="234" t="e">
        <f ca="1">'D&amp;A+CAPEX'!S45</f>
        <v>#DIV/0!</v>
      </c>
    </row>
    <row r="31" spans="2:18" x14ac:dyDescent="0.25">
      <c r="B31" t="s">
        <v>92</v>
      </c>
      <c r="D31" s="234">
        <f>Net_Working_Capital!E24</f>
        <v>17.640000000000086</v>
      </c>
      <c r="E31" s="234">
        <f>Net_Working_Capital!F24</f>
        <v>2501.5879999999997</v>
      </c>
      <c r="F31" s="234">
        <f>Net_Working_Capital!G24</f>
        <v>-2727</v>
      </c>
      <c r="G31" s="234">
        <f>Net_Working_Capital!H24</f>
        <v>-1162</v>
      </c>
      <c r="H31" s="234">
        <f>Net_Working_Capital!I24</f>
        <v>-116</v>
      </c>
      <c r="I31" s="234">
        <f ca="1">Net_Working_Capital!J24</f>
        <v>2579.7505123984765</v>
      </c>
      <c r="J31" s="234">
        <f ca="1">Net_Working_Capital!K24</f>
        <v>372.09600103421076</v>
      </c>
      <c r="K31" s="234">
        <f ca="1">Net_Working_Capital!L24</f>
        <v>528.45903140282417</v>
      </c>
      <c r="L31" s="234">
        <f ca="1">Net_Working_Capital!M24</f>
        <v>757.13666980651624</v>
      </c>
      <c r="M31" s="234">
        <f ca="1">Net_Working_Capital!N24</f>
        <v>1094.2436852824067</v>
      </c>
      <c r="N31" s="234">
        <f ca="1">Net_Working_Capital!O24</f>
        <v>1595.0282627330434</v>
      </c>
      <c r="O31" s="234">
        <f ca="1">Net_Working_Capital!P24</f>
        <v>2344.460332700537</v>
      </c>
      <c r="P31" s="234">
        <f ca="1">Net_Working_Capital!Q24</f>
        <v>3473.8675759799789</v>
      </c>
      <c r="Q31" s="234">
        <f ca="1">Net_Working_Capital!R24</f>
        <v>5187.1533503623104</v>
      </c>
      <c r="R31" s="234">
        <f ca="1">Net_Working_Capital!S24</f>
        <v>7802.2310080969946</v>
      </c>
    </row>
    <row r="32" spans="2:18" x14ac:dyDescent="0.25">
      <c r="B32" s="13" t="s">
        <v>93</v>
      </c>
      <c r="C32" s="22"/>
      <c r="D32" s="237">
        <f t="shared" ref="D32:G32" si="19">D28+D29-D30-D31</f>
        <v>1567.8125199999997</v>
      </c>
      <c r="E32" s="237">
        <f t="shared" si="19"/>
        <v>-288.76800000000003</v>
      </c>
      <c r="F32" s="237">
        <f t="shared" si="19"/>
        <v>9361.64</v>
      </c>
      <c r="G32" s="237">
        <f t="shared" si="19"/>
        <v>8252.5299999999988</v>
      </c>
      <c r="H32" s="237">
        <f>H28+H29-H30-H31</f>
        <v>8426.7800000000007</v>
      </c>
      <c r="I32" s="237" t="e">
        <f t="shared" ref="I32:M32" ca="1" si="20">I28+I29-I30-I31</f>
        <v>#DIV/0!</v>
      </c>
      <c r="J32" s="237" t="e">
        <f t="shared" ca="1" si="20"/>
        <v>#DIV/0!</v>
      </c>
      <c r="K32" s="237" t="e">
        <f t="shared" ca="1" si="20"/>
        <v>#DIV/0!</v>
      </c>
      <c r="L32" s="237" t="e">
        <f t="shared" ca="1" si="20"/>
        <v>#DIV/0!</v>
      </c>
      <c r="M32" s="237" t="e">
        <f t="shared" ca="1" si="20"/>
        <v>#DIV/0!</v>
      </c>
      <c r="N32" s="237" t="e">
        <f t="shared" ref="N32:R32" ca="1" si="21">N28+N29-N30-N31</f>
        <v>#DIV/0!</v>
      </c>
      <c r="O32" s="237" t="e">
        <f t="shared" ca="1" si="21"/>
        <v>#DIV/0!</v>
      </c>
      <c r="P32" s="237" t="e">
        <f t="shared" ca="1" si="21"/>
        <v>#DIV/0!</v>
      </c>
      <c r="Q32" s="237" t="e">
        <f t="shared" ca="1" si="21"/>
        <v>#DIV/0!</v>
      </c>
      <c r="R32" s="237" t="e">
        <f t="shared" ca="1" si="21"/>
        <v>#DIV/0!</v>
      </c>
    </row>
    <row r="33" spans="2:25" x14ac:dyDescent="0.25">
      <c r="B33" t="s">
        <v>94</v>
      </c>
      <c r="I33" s="23">
        <f ca="1">1/((1+$H$11)^((I$17-$C$9)/365))</f>
        <v>0.96567031523494629</v>
      </c>
      <c r="J33" s="23">
        <f t="shared" ref="J33:L33" ca="1" si="22">1/((1+$H$11)^((J$17-$C$9)/365))</f>
        <v>0.89343691308119955</v>
      </c>
      <c r="K33" s="23">
        <f t="shared" ca="1" si="22"/>
        <v>0.82660666385075188</v>
      </c>
      <c r="L33" s="23">
        <f t="shared" ca="1" si="22"/>
        <v>0.76477540464054072</v>
      </c>
      <c r="M33" s="23">
        <f ca="1">1/((1+$H$11)^((M$17-$C$9)/365))</f>
        <v>0.70741850485566071</v>
      </c>
      <c r="N33" s="23">
        <f t="shared" ref="N33:R33" ca="1" si="23">1/((1+$H$11)^((N$17-$C$9)/365))</f>
        <v>0.65450267577189225</v>
      </c>
      <c r="O33" s="23">
        <f t="shared" ca="1" si="23"/>
        <v>0.60554501988885723</v>
      </c>
      <c r="P33" s="23">
        <f t="shared" ca="1" si="23"/>
        <v>0.56024946067599235</v>
      </c>
      <c r="Q33" s="23">
        <f t="shared" ca="1" si="23"/>
        <v>0.51823167090981948</v>
      </c>
      <c r="R33" s="23">
        <f t="shared" ca="1" si="23"/>
        <v>0.47946726435919507</v>
      </c>
    </row>
    <row r="34" spans="2:25" x14ac:dyDescent="0.25">
      <c r="B34" t="s">
        <v>95</v>
      </c>
      <c r="C34" s="45">
        <f>H11</f>
        <v>8.0848911765504614E-2</v>
      </c>
    </row>
    <row r="35" spans="2:25" x14ac:dyDescent="0.25">
      <c r="B35" s="13" t="s">
        <v>96</v>
      </c>
      <c r="C35" s="22"/>
      <c r="D35" s="22"/>
      <c r="E35" s="22"/>
      <c r="F35" s="22"/>
      <c r="G35" s="22"/>
      <c r="H35" s="22"/>
      <c r="I35" s="263" t="e">
        <f ca="1">I32*I33</f>
        <v>#DIV/0!</v>
      </c>
      <c r="J35" s="263" t="e">
        <f t="shared" ref="J35:R35" ca="1" si="24">J32*J33</f>
        <v>#DIV/0!</v>
      </c>
      <c r="K35" s="263" t="e">
        <f t="shared" ca="1" si="24"/>
        <v>#DIV/0!</v>
      </c>
      <c r="L35" s="263" t="e">
        <f t="shared" ca="1" si="24"/>
        <v>#DIV/0!</v>
      </c>
      <c r="M35" s="263" t="e">
        <f t="shared" ca="1" si="24"/>
        <v>#DIV/0!</v>
      </c>
      <c r="N35" s="263" t="e">
        <f t="shared" ca="1" si="24"/>
        <v>#DIV/0!</v>
      </c>
      <c r="O35" s="263" t="e">
        <f t="shared" ca="1" si="24"/>
        <v>#DIV/0!</v>
      </c>
      <c r="P35" s="263" t="e">
        <f t="shared" ca="1" si="24"/>
        <v>#DIV/0!</v>
      </c>
      <c r="Q35" s="263" t="e">
        <f t="shared" ca="1" si="24"/>
        <v>#DIV/0!</v>
      </c>
      <c r="R35" s="263" t="e">
        <f t="shared" ca="1" si="24"/>
        <v>#DIV/0!</v>
      </c>
    </row>
    <row r="37" spans="2:25" x14ac:dyDescent="0.25">
      <c r="S37" s="24" t="s">
        <v>97</v>
      </c>
      <c r="T37" s="25"/>
      <c r="U37" s="25"/>
      <c r="V37" s="25"/>
      <c r="W37" s="25"/>
      <c r="X37" s="25"/>
      <c r="Y37" s="25"/>
    </row>
    <row r="38" spans="2:25" x14ac:dyDescent="0.25">
      <c r="B38" s="3" t="s">
        <v>98</v>
      </c>
      <c r="C38" s="235" t="e">
        <f ca="1">SUM(I35:M35)</f>
        <v>#DIV/0!</v>
      </c>
      <c r="S38" s="26"/>
      <c r="T38" s="26"/>
      <c r="U38" s="26"/>
      <c r="V38" s="26"/>
      <c r="W38" s="26"/>
      <c r="X38" s="26"/>
      <c r="Y38" s="26"/>
    </row>
    <row r="39" spans="2:25" x14ac:dyDescent="0.25">
      <c r="C39" s="234"/>
      <c r="S39" s="26"/>
      <c r="T39" s="26"/>
      <c r="U39" s="26"/>
      <c r="V39" s="26"/>
      <c r="W39" s="27" t="s">
        <v>99</v>
      </c>
      <c r="X39" s="26"/>
      <c r="Y39" s="26"/>
    </row>
    <row r="40" spans="2:25" x14ac:dyDescent="0.25">
      <c r="B40" s="2" t="s">
        <v>100</v>
      </c>
      <c r="C40" s="236"/>
      <c r="S40" s="26"/>
      <c r="T40" s="28"/>
      <c r="U40" s="29"/>
      <c r="V40" s="29"/>
      <c r="W40" s="30" t="s">
        <v>46</v>
      </c>
      <c r="X40" s="29"/>
      <c r="Y40" s="29"/>
    </row>
    <row r="41" spans="2:25" x14ac:dyDescent="0.25">
      <c r="B41" t="s">
        <v>101</v>
      </c>
      <c r="C41" s="300">
        <f>H10</f>
        <v>8.9217673412850083</v>
      </c>
      <c r="S41" s="26"/>
      <c r="T41" s="31">
        <f>E42</f>
        <v>0</v>
      </c>
      <c r="U41" s="32">
        <f t="shared" ref="U41:V41" si="25">V41-0.005</f>
        <v>7.0848911765504605E-2</v>
      </c>
      <c r="V41" s="32">
        <f t="shared" si="25"/>
        <v>7.5848911765504609E-2</v>
      </c>
      <c r="W41" s="33">
        <f>H11</f>
        <v>8.0848911765504614E-2</v>
      </c>
      <c r="X41" s="32">
        <f t="shared" ref="X41:Y41" si="26">W41+0.005</f>
        <v>8.5848911765504618E-2</v>
      </c>
      <c r="Y41" s="32">
        <f t="shared" si="26"/>
        <v>9.0848911765504622E-2</v>
      </c>
    </row>
    <row r="42" spans="2:25" x14ac:dyDescent="0.25">
      <c r="B42" t="s">
        <v>102</v>
      </c>
      <c r="C42" s="234" t="e">
        <f ca="1">M23*H10</f>
        <v>#DIV/0!</v>
      </c>
      <c r="S42" s="34"/>
      <c r="T42" s="35">
        <f t="shared" ref="T42:T43" si="27">T43-0.5</f>
        <v>7.9217673412850083</v>
      </c>
      <c r="U42" s="239" t="e">
        <f t="shared" ref="U42:Y46" ca="1" si="28">(SUM($I$35:$M$35))+($T42*$M$23*(1/((1+U$41)^(($M$17-$C$9)/365))))+$C$45-$C$46</f>
        <v>#DIV/0!</v>
      </c>
      <c r="V42" s="239" t="e">
        <f t="shared" ca="1" si="28"/>
        <v>#DIV/0!</v>
      </c>
      <c r="W42" s="239" t="e">
        <f t="shared" ca="1" si="28"/>
        <v>#DIV/0!</v>
      </c>
      <c r="X42" s="239" t="e">
        <f t="shared" ca="1" si="28"/>
        <v>#DIV/0!</v>
      </c>
      <c r="Y42" s="239" t="e">
        <f t="shared" ca="1" si="28"/>
        <v>#DIV/0!</v>
      </c>
    </row>
    <row r="43" spans="2:25" x14ac:dyDescent="0.25">
      <c r="B43" t="s">
        <v>103</v>
      </c>
      <c r="C43" s="234" t="e">
        <f ca="1">C42*M33</f>
        <v>#DIV/0!</v>
      </c>
      <c r="S43" s="36" t="s">
        <v>104</v>
      </c>
      <c r="T43" s="35">
        <f t="shared" si="27"/>
        <v>8.4217673412850083</v>
      </c>
      <c r="U43" s="239" t="e">
        <f t="shared" ca="1" si="28"/>
        <v>#DIV/0!</v>
      </c>
      <c r="V43" s="240" t="e">
        <f t="shared" ca="1" si="28"/>
        <v>#DIV/0!</v>
      </c>
      <c r="W43" s="240" t="e">
        <f t="shared" ca="1" si="28"/>
        <v>#DIV/0!</v>
      </c>
      <c r="X43" s="240" t="e">
        <f t="shared" ca="1" si="28"/>
        <v>#DIV/0!</v>
      </c>
      <c r="Y43" s="239" t="e">
        <f t="shared" ca="1" si="28"/>
        <v>#DIV/0!</v>
      </c>
    </row>
    <row r="44" spans="2:25" x14ac:dyDescent="0.25">
      <c r="B44" s="13" t="s">
        <v>105</v>
      </c>
      <c r="C44" s="237" t="e">
        <f ca="1">C43+C38</f>
        <v>#DIV/0!</v>
      </c>
      <c r="S44" s="36" t="s">
        <v>106</v>
      </c>
      <c r="T44" s="37">
        <f>H10</f>
        <v>8.9217673412850083</v>
      </c>
      <c r="U44" s="239" t="e">
        <f t="shared" ca="1" si="28"/>
        <v>#DIV/0!</v>
      </c>
      <c r="V44" s="240" t="e">
        <f t="shared" ca="1" si="28"/>
        <v>#DIV/0!</v>
      </c>
      <c r="W44" s="240" t="e">
        <f t="shared" ca="1" si="28"/>
        <v>#DIV/0!</v>
      </c>
      <c r="X44" s="240" t="e">
        <f t="shared" ca="1" si="28"/>
        <v>#DIV/0!</v>
      </c>
      <c r="Y44" s="239" t="e">
        <f t="shared" ca="1" si="28"/>
        <v>#DIV/0!</v>
      </c>
    </row>
    <row r="45" spans="2:25" x14ac:dyDescent="0.25">
      <c r="B45" t="s">
        <v>278</v>
      </c>
      <c r="C45" s="234">
        <f>WACC_Calculator!L8</f>
        <v>25711</v>
      </c>
      <c r="S45" s="36" t="s">
        <v>108</v>
      </c>
      <c r="T45" s="35">
        <f t="shared" ref="T45:T46" si="29">T44+0.5</f>
        <v>9.4217673412850083</v>
      </c>
      <c r="U45" s="239" t="e">
        <f t="shared" ca="1" si="28"/>
        <v>#DIV/0!</v>
      </c>
      <c r="V45" s="240" t="e">
        <f t="shared" ca="1" si="28"/>
        <v>#DIV/0!</v>
      </c>
      <c r="W45" s="240" t="e">
        <f t="shared" ca="1" si="28"/>
        <v>#DIV/0!</v>
      </c>
      <c r="X45" s="240" t="e">
        <f t="shared" ca="1" si="28"/>
        <v>#DIV/0!</v>
      </c>
      <c r="Y45" s="239" t="e">
        <f t="shared" ca="1" si="28"/>
        <v>#DIV/0!</v>
      </c>
    </row>
    <row r="46" spans="2:25" x14ac:dyDescent="0.25">
      <c r="B46" t="s">
        <v>277</v>
      </c>
      <c r="C46" s="234">
        <f>Net_Working_Capital!I8</f>
        <v>1005</v>
      </c>
      <c r="S46" s="38"/>
      <c r="T46" s="35">
        <f t="shared" si="29"/>
        <v>9.9217673412850083</v>
      </c>
      <c r="U46" s="239" t="e">
        <f t="shared" ca="1" si="28"/>
        <v>#DIV/0!</v>
      </c>
      <c r="V46" s="239" t="e">
        <f t="shared" ca="1" si="28"/>
        <v>#DIV/0!</v>
      </c>
      <c r="W46" s="239" t="e">
        <f t="shared" ca="1" si="28"/>
        <v>#DIV/0!</v>
      </c>
      <c r="X46" s="239" t="e">
        <f t="shared" ca="1" si="28"/>
        <v>#DIV/0!</v>
      </c>
      <c r="Y46" s="239" t="e">
        <f t="shared" ca="1" si="28"/>
        <v>#DIV/0!</v>
      </c>
    </row>
    <row r="47" spans="2:25" x14ac:dyDescent="0.25">
      <c r="B47" s="13" t="s">
        <v>99</v>
      </c>
      <c r="C47" s="237" t="e">
        <f ca="1">C44+C45-C46</f>
        <v>#DIV/0!</v>
      </c>
      <c r="S47" s="26"/>
      <c r="T47" s="26"/>
      <c r="U47" s="26"/>
      <c r="V47" s="26"/>
      <c r="W47" s="26"/>
      <c r="X47" s="26"/>
      <c r="Y47" s="26"/>
    </row>
    <row r="48" spans="2:25" x14ac:dyDescent="0.25">
      <c r="B48" t="s">
        <v>110</v>
      </c>
      <c r="C48" s="234">
        <f>M10</f>
        <v>216.41549999999998</v>
      </c>
      <c r="S48" s="26"/>
      <c r="T48" s="26"/>
      <c r="U48" s="26"/>
      <c r="V48" s="26"/>
      <c r="W48" s="27" t="s">
        <v>111</v>
      </c>
      <c r="X48" s="26"/>
      <c r="Y48" s="26"/>
    </row>
    <row r="49" spans="2:25" x14ac:dyDescent="0.25">
      <c r="B49" s="18" t="s">
        <v>112</v>
      </c>
      <c r="C49" s="238" t="e">
        <f ca="1">C47/C48</f>
        <v>#DIV/0!</v>
      </c>
      <c r="S49" s="26"/>
      <c r="T49" s="26"/>
      <c r="U49" s="29"/>
      <c r="V49" s="29"/>
      <c r="W49" s="30" t="s">
        <v>46</v>
      </c>
      <c r="X49" s="29"/>
      <c r="Y49" s="29"/>
    </row>
    <row r="50" spans="2:25" x14ac:dyDescent="0.25">
      <c r="B50" s="11" t="s">
        <v>113</v>
      </c>
      <c r="C50" s="116" t="e">
        <f ca="1">(C49-M11)/M11</f>
        <v>#DIV/0!</v>
      </c>
      <c r="S50" s="26"/>
      <c r="T50" s="39">
        <f>E48</f>
        <v>0</v>
      </c>
      <c r="U50" s="32">
        <f t="shared" ref="U50:V50" si="30">V50-0.005</f>
        <v>7.0848911765504605E-2</v>
      </c>
      <c r="V50" s="32">
        <f t="shared" si="30"/>
        <v>7.5848911765504609E-2</v>
      </c>
      <c r="W50" s="33">
        <f>W41</f>
        <v>8.0848911765504614E-2</v>
      </c>
      <c r="X50" s="32">
        <f t="shared" ref="X50:Y50" si="31">W50+0.005</f>
        <v>8.5848911765504618E-2</v>
      </c>
      <c r="Y50" s="32">
        <f t="shared" si="31"/>
        <v>9.0848911765504622E-2</v>
      </c>
    </row>
    <row r="51" spans="2:25" x14ac:dyDescent="0.25">
      <c r="S51" s="34"/>
      <c r="T51" s="35">
        <f t="shared" ref="T51:T52" si="32">T52-0.5</f>
        <v>7.9217673412850083</v>
      </c>
      <c r="U51" s="43" t="e">
        <f t="shared" ref="U51:Y55" ca="1" si="33">(U42-$C$47)/$C$47</f>
        <v>#DIV/0!</v>
      </c>
      <c r="V51" s="43" t="e">
        <f t="shared" ca="1" si="33"/>
        <v>#DIV/0!</v>
      </c>
      <c r="W51" s="43" t="e">
        <f t="shared" ca="1" si="33"/>
        <v>#DIV/0!</v>
      </c>
      <c r="X51" s="43" t="e">
        <f ca="1">(X42-$C$47)/$C$47</f>
        <v>#DIV/0!</v>
      </c>
      <c r="Y51" s="43" t="e">
        <f t="shared" ca="1" si="33"/>
        <v>#DIV/0!</v>
      </c>
    </row>
    <row r="52" spans="2:25" x14ac:dyDescent="0.25">
      <c r="S52" s="36" t="s">
        <v>104</v>
      </c>
      <c r="T52" s="35">
        <f t="shared" si="32"/>
        <v>8.4217673412850083</v>
      </c>
      <c r="U52" s="43" t="e">
        <f t="shared" ca="1" si="33"/>
        <v>#DIV/0!</v>
      </c>
      <c r="V52" s="44" t="e">
        <f t="shared" ca="1" si="33"/>
        <v>#DIV/0!</v>
      </c>
      <c r="W52" s="44" t="e">
        <f t="shared" ca="1" si="33"/>
        <v>#DIV/0!</v>
      </c>
      <c r="X52" s="44" t="e">
        <f t="shared" ca="1" si="33"/>
        <v>#DIV/0!</v>
      </c>
      <c r="Y52" s="43" t="e">
        <f t="shared" ca="1" si="33"/>
        <v>#DIV/0!</v>
      </c>
    </row>
    <row r="53" spans="2:25" x14ac:dyDescent="0.25">
      <c r="S53" s="36" t="s">
        <v>106</v>
      </c>
      <c r="T53" s="37">
        <f>T44</f>
        <v>8.9217673412850083</v>
      </c>
      <c r="U53" s="43" t="e">
        <f t="shared" ca="1" si="33"/>
        <v>#DIV/0!</v>
      </c>
      <c r="V53" s="44" t="e">
        <f t="shared" ca="1" si="33"/>
        <v>#DIV/0!</v>
      </c>
      <c r="W53" s="44" t="e">
        <f ca="1">(W44-$C$47)/$C$47</f>
        <v>#DIV/0!</v>
      </c>
      <c r="X53" s="44" t="e">
        <f t="shared" ca="1" si="33"/>
        <v>#DIV/0!</v>
      </c>
      <c r="Y53" s="43" t="e">
        <f t="shared" ca="1" si="33"/>
        <v>#DIV/0!</v>
      </c>
    </row>
    <row r="54" spans="2:25" x14ac:dyDescent="0.25">
      <c r="B54" s="2" t="s">
        <v>114</v>
      </c>
      <c r="C54" s="2"/>
      <c r="S54" s="36" t="s">
        <v>108</v>
      </c>
      <c r="T54" s="35">
        <f t="shared" ref="T54:T55" si="34">T53+0.5</f>
        <v>9.4217673412850083</v>
      </c>
      <c r="U54" s="43" t="e">
        <f t="shared" ca="1" si="33"/>
        <v>#DIV/0!</v>
      </c>
      <c r="V54" s="44" t="e">
        <f t="shared" ca="1" si="33"/>
        <v>#DIV/0!</v>
      </c>
      <c r="W54" s="44" t="e">
        <f t="shared" ca="1" si="33"/>
        <v>#DIV/0!</v>
      </c>
      <c r="X54" s="44" t="e">
        <f t="shared" ca="1" si="33"/>
        <v>#DIV/0!</v>
      </c>
      <c r="Y54" s="43" t="e">
        <f t="shared" ca="1" si="33"/>
        <v>#DIV/0!</v>
      </c>
    </row>
    <row r="55" spans="2:25" x14ac:dyDescent="0.25">
      <c r="B55" t="s">
        <v>35</v>
      </c>
      <c r="C55" s="40">
        <f>M9</f>
        <v>0.02</v>
      </c>
      <c r="S55" s="38"/>
      <c r="T55" s="35">
        <f t="shared" si="34"/>
        <v>9.9217673412850083</v>
      </c>
      <c r="U55" s="43" t="e">
        <f t="shared" ca="1" si="33"/>
        <v>#DIV/0!</v>
      </c>
      <c r="V55" s="43" t="e">
        <f t="shared" ca="1" si="33"/>
        <v>#DIV/0!</v>
      </c>
      <c r="W55" s="43" t="e">
        <f t="shared" ca="1" si="33"/>
        <v>#DIV/0!</v>
      </c>
      <c r="X55" s="43" t="e">
        <f t="shared" ca="1" si="33"/>
        <v>#DIV/0!</v>
      </c>
      <c r="Y55" s="43" t="e">
        <f t="shared" ca="1" si="33"/>
        <v>#DIV/0!</v>
      </c>
    </row>
    <row r="56" spans="2:25" x14ac:dyDescent="0.25">
      <c r="B56" t="s">
        <v>115</v>
      </c>
      <c r="C56" s="234" t="e">
        <f ca="1">C38</f>
        <v>#DIV/0!</v>
      </c>
      <c r="S56" s="26"/>
      <c r="T56" s="26"/>
      <c r="U56" s="26"/>
      <c r="V56" s="26"/>
      <c r="W56" s="26"/>
      <c r="X56" s="26"/>
      <c r="Y56" s="26"/>
    </row>
    <row r="57" spans="2:25" x14ac:dyDescent="0.25">
      <c r="B57" t="s">
        <v>103</v>
      </c>
      <c r="C57" s="234" t="e">
        <f ca="1">(((M32)*(1+M9))/(H12-M9))*M33</f>
        <v>#DIV/0!</v>
      </c>
      <c r="S57" s="24" t="s">
        <v>116</v>
      </c>
      <c r="T57" s="25"/>
      <c r="U57" s="25"/>
      <c r="V57" s="25"/>
      <c r="W57" s="25"/>
      <c r="X57" s="25"/>
      <c r="Y57" s="25"/>
    </row>
    <row r="58" spans="2:25" x14ac:dyDescent="0.25">
      <c r="B58" s="13" t="s">
        <v>105</v>
      </c>
      <c r="C58" s="237" t="e">
        <f ca="1">C56+C57</f>
        <v>#DIV/0!</v>
      </c>
      <c r="S58" s="26"/>
      <c r="T58" s="26"/>
      <c r="U58" s="26"/>
      <c r="V58" s="26"/>
      <c r="W58" s="26"/>
      <c r="X58" s="26"/>
      <c r="Y58" s="26"/>
    </row>
    <row r="59" spans="2:25" x14ac:dyDescent="0.25">
      <c r="B59" t="s">
        <v>278</v>
      </c>
      <c r="C59" s="234">
        <f>WACC_Calculator!L8</f>
        <v>25711</v>
      </c>
      <c r="S59" s="26"/>
      <c r="T59" s="26"/>
      <c r="U59" s="26"/>
      <c r="V59" s="26"/>
      <c r="W59" s="27" t="s">
        <v>99</v>
      </c>
      <c r="X59" s="26"/>
      <c r="Y59" s="26"/>
    </row>
    <row r="60" spans="2:25" x14ac:dyDescent="0.25">
      <c r="B60" t="s">
        <v>277</v>
      </c>
      <c r="C60" s="234">
        <f>C46</f>
        <v>1005</v>
      </c>
      <c r="S60" s="26"/>
      <c r="T60" s="26"/>
      <c r="U60" s="29"/>
      <c r="V60" s="29"/>
      <c r="W60" s="30" t="s">
        <v>46</v>
      </c>
      <c r="X60" s="29"/>
      <c r="Y60" s="29"/>
    </row>
    <row r="61" spans="2:25" x14ac:dyDescent="0.25">
      <c r="B61" s="13" t="s">
        <v>99</v>
      </c>
      <c r="C61" s="237" t="e">
        <f ca="1">C58+C59-C60</f>
        <v>#DIV/0!</v>
      </c>
      <c r="S61" s="26"/>
      <c r="T61" s="31">
        <f>E65</f>
        <v>0</v>
      </c>
      <c r="U61" s="32">
        <f t="shared" ref="U61:V61" si="35">V61-0.005</f>
        <v>7.0848911765504605E-2</v>
      </c>
      <c r="V61" s="32">
        <f t="shared" si="35"/>
        <v>7.5848911765504609E-2</v>
      </c>
      <c r="W61" s="33">
        <f>W41</f>
        <v>8.0848911765504614E-2</v>
      </c>
      <c r="X61" s="32">
        <f t="shared" ref="X61" si="36">W61+0.005</f>
        <v>8.5848911765504618E-2</v>
      </c>
      <c r="Y61" s="32">
        <f>X61+0.005</f>
        <v>9.0848911765504622E-2</v>
      </c>
    </row>
    <row r="62" spans="2:25" x14ac:dyDescent="0.25">
      <c r="B62" t="s">
        <v>110</v>
      </c>
      <c r="C62" s="234">
        <f>M10</f>
        <v>216.41549999999998</v>
      </c>
      <c r="S62" s="34"/>
      <c r="T62" s="41">
        <f>T63-0.005</f>
        <v>9.9999999999999985E-3</v>
      </c>
      <c r="U62" s="239" t="e">
        <f t="shared" ref="U62:Y66" ca="1" si="37">(SUM($I$35:$M$35))+((($M$32*(1+$T62))/(U$61-$T62))*(1/((1+U$61)^(($M$17-$C$9)/365))))+$C$45-$C$46</f>
        <v>#DIV/0!</v>
      </c>
      <c r="V62" s="239" t="e">
        <f t="shared" ca="1" si="37"/>
        <v>#DIV/0!</v>
      </c>
      <c r="W62" s="239" t="e">
        <f t="shared" ca="1" si="37"/>
        <v>#DIV/0!</v>
      </c>
      <c r="X62" s="239" t="e">
        <f t="shared" ca="1" si="37"/>
        <v>#DIV/0!</v>
      </c>
      <c r="Y62" s="239" t="e">
        <f t="shared" ca="1" si="37"/>
        <v>#DIV/0!</v>
      </c>
    </row>
    <row r="63" spans="2:25" x14ac:dyDescent="0.25">
      <c r="B63" s="18" t="s">
        <v>112</v>
      </c>
      <c r="C63" s="238" t="e">
        <f ca="1">C61/C62</f>
        <v>#DIV/0!</v>
      </c>
      <c r="S63" s="36" t="s">
        <v>117</v>
      </c>
      <c r="T63" s="41">
        <f>T64-0.005</f>
        <v>1.4999999999999999E-2</v>
      </c>
      <c r="U63" s="239" t="e">
        <f t="shared" ca="1" si="37"/>
        <v>#DIV/0!</v>
      </c>
      <c r="V63" s="240" t="e">
        <f t="shared" ca="1" si="37"/>
        <v>#DIV/0!</v>
      </c>
      <c r="W63" s="240" t="e">
        <f t="shared" ca="1" si="37"/>
        <v>#DIV/0!</v>
      </c>
      <c r="X63" s="240" t="e">
        <f t="shared" ca="1" si="37"/>
        <v>#DIV/0!</v>
      </c>
      <c r="Y63" s="239" t="e">
        <f t="shared" ca="1" si="37"/>
        <v>#DIV/0!</v>
      </c>
    </row>
    <row r="64" spans="2:25" x14ac:dyDescent="0.25">
      <c r="B64" s="11" t="s">
        <v>113</v>
      </c>
      <c r="C64" s="116" t="e">
        <f ca="1">(C63-M11)/M11</f>
        <v>#DIV/0!</v>
      </c>
      <c r="S64" s="36" t="s">
        <v>118</v>
      </c>
      <c r="T64" s="42">
        <f>M9</f>
        <v>0.02</v>
      </c>
      <c r="U64" s="239" t="e">
        <f t="shared" ca="1" si="37"/>
        <v>#DIV/0!</v>
      </c>
      <c r="V64" s="240" t="e">
        <f t="shared" ca="1" si="37"/>
        <v>#DIV/0!</v>
      </c>
      <c r="W64" s="240" t="e">
        <f t="shared" ca="1" si="37"/>
        <v>#DIV/0!</v>
      </c>
      <c r="X64" s="240" t="e">
        <f t="shared" ca="1" si="37"/>
        <v>#DIV/0!</v>
      </c>
      <c r="Y64" s="239" t="e">
        <f t="shared" ca="1" si="37"/>
        <v>#DIV/0!</v>
      </c>
    </row>
    <row r="65" spans="19:25" x14ac:dyDescent="0.25">
      <c r="S65" s="36" t="s">
        <v>119</v>
      </c>
      <c r="T65" s="41">
        <f>T64+0.005</f>
        <v>2.5000000000000001E-2</v>
      </c>
      <c r="U65" s="239" t="e">
        <f t="shared" ca="1" si="37"/>
        <v>#DIV/0!</v>
      </c>
      <c r="V65" s="240" t="e">
        <f t="shared" ca="1" si="37"/>
        <v>#DIV/0!</v>
      </c>
      <c r="W65" s="240" t="e">
        <f t="shared" ca="1" si="37"/>
        <v>#DIV/0!</v>
      </c>
      <c r="X65" s="240" t="e">
        <f t="shared" ca="1" si="37"/>
        <v>#DIV/0!</v>
      </c>
      <c r="Y65" s="239" t="e">
        <f t="shared" ca="1" si="37"/>
        <v>#DIV/0!</v>
      </c>
    </row>
    <row r="66" spans="19:25" x14ac:dyDescent="0.25">
      <c r="S66" s="38"/>
      <c r="T66" s="41">
        <f>T65+0.005</f>
        <v>3.0000000000000002E-2</v>
      </c>
      <c r="U66" s="239" t="e">
        <f t="shared" ca="1" si="37"/>
        <v>#DIV/0!</v>
      </c>
      <c r="V66" s="239" t="e">
        <f t="shared" ca="1" si="37"/>
        <v>#DIV/0!</v>
      </c>
      <c r="W66" s="239" t="e">
        <f t="shared" ca="1" si="37"/>
        <v>#DIV/0!</v>
      </c>
      <c r="X66" s="239" t="e">
        <f t="shared" ca="1" si="37"/>
        <v>#DIV/0!</v>
      </c>
      <c r="Y66" s="239" t="e">
        <f t="shared" ca="1" si="37"/>
        <v>#DIV/0!</v>
      </c>
    </row>
    <row r="67" spans="19:25" x14ac:dyDescent="0.25">
      <c r="S67" s="26"/>
      <c r="T67" s="26"/>
      <c r="U67" s="26"/>
      <c r="V67" s="26"/>
      <c r="W67" s="26"/>
      <c r="X67" s="26"/>
      <c r="Y67" s="26"/>
    </row>
    <row r="68" spans="19:25" x14ac:dyDescent="0.25">
      <c r="S68" s="26"/>
      <c r="T68" s="26"/>
      <c r="U68" s="26"/>
      <c r="V68" s="26"/>
      <c r="W68" s="27" t="s">
        <v>111</v>
      </c>
      <c r="X68" s="26"/>
      <c r="Y68" s="26"/>
    </row>
    <row r="69" spans="19:25" x14ac:dyDescent="0.25">
      <c r="S69" s="26"/>
      <c r="T69" s="26"/>
      <c r="U69" s="29"/>
      <c r="V69" s="29"/>
      <c r="W69" s="30" t="s">
        <v>46</v>
      </c>
      <c r="X69" s="29"/>
      <c r="Y69" s="29"/>
    </row>
    <row r="70" spans="19:25" x14ac:dyDescent="0.25">
      <c r="S70" s="26"/>
      <c r="T70" s="31">
        <f>E71</f>
        <v>0</v>
      </c>
      <c r="U70" s="32">
        <f t="shared" ref="U70:V70" si="38">V70-0.005</f>
        <v>7.0848911765504605E-2</v>
      </c>
      <c r="V70" s="32">
        <f t="shared" si="38"/>
        <v>7.5848911765504609E-2</v>
      </c>
      <c r="W70" s="33">
        <f>W41</f>
        <v>8.0848911765504614E-2</v>
      </c>
      <c r="X70" s="32">
        <f t="shared" ref="X70:Y70" si="39">W70+0.005</f>
        <v>8.5848911765504618E-2</v>
      </c>
      <c r="Y70" s="32">
        <f t="shared" si="39"/>
        <v>9.0848911765504622E-2</v>
      </c>
    </row>
    <row r="71" spans="19:25" x14ac:dyDescent="0.25">
      <c r="S71" s="34"/>
      <c r="T71" s="41">
        <f>T72-0.005</f>
        <v>9.9999999999999985E-3</v>
      </c>
      <c r="U71" s="43" t="e">
        <f t="shared" ref="U71:Y75" ca="1" si="40">(U62-$C$61)/$C$61</f>
        <v>#DIV/0!</v>
      </c>
      <c r="V71" s="43" t="e">
        <f t="shared" ca="1" si="40"/>
        <v>#DIV/0!</v>
      </c>
      <c r="W71" s="43" t="e">
        <f t="shared" ca="1" si="40"/>
        <v>#DIV/0!</v>
      </c>
      <c r="X71" s="43" t="e">
        <f t="shared" ca="1" si="40"/>
        <v>#DIV/0!</v>
      </c>
      <c r="Y71" s="43" t="e">
        <f t="shared" ca="1" si="40"/>
        <v>#DIV/0!</v>
      </c>
    </row>
    <row r="72" spans="19:25" x14ac:dyDescent="0.25">
      <c r="S72" s="36" t="s">
        <v>117</v>
      </c>
      <c r="T72" s="41">
        <f>T73-0.005</f>
        <v>1.4999999999999999E-2</v>
      </c>
      <c r="U72" s="43" t="e">
        <f t="shared" ca="1" si="40"/>
        <v>#DIV/0!</v>
      </c>
      <c r="V72" s="44" t="e">
        <f t="shared" ca="1" si="40"/>
        <v>#DIV/0!</v>
      </c>
      <c r="W72" s="44" t="e">
        <f t="shared" ca="1" si="40"/>
        <v>#DIV/0!</v>
      </c>
      <c r="X72" s="44" t="e">
        <f t="shared" ca="1" si="40"/>
        <v>#DIV/0!</v>
      </c>
      <c r="Y72" s="43" t="e">
        <f t="shared" ca="1" si="40"/>
        <v>#DIV/0!</v>
      </c>
    </row>
    <row r="73" spans="19:25" x14ac:dyDescent="0.25">
      <c r="S73" s="36" t="s">
        <v>118</v>
      </c>
      <c r="T73" s="42">
        <f>T64</f>
        <v>0.02</v>
      </c>
      <c r="U73" s="43" t="e">
        <f t="shared" ca="1" si="40"/>
        <v>#DIV/0!</v>
      </c>
      <c r="V73" s="44" t="e">
        <f ca="1">(V64-$C$61)/$C$61</f>
        <v>#DIV/0!</v>
      </c>
      <c r="W73" s="44" t="e">
        <f ca="1">(W64-$C$61)/$C$61</f>
        <v>#DIV/0!</v>
      </c>
      <c r="X73" s="44" t="e">
        <f t="shared" ca="1" si="40"/>
        <v>#DIV/0!</v>
      </c>
      <c r="Y73" s="43" t="e">
        <f ca="1">(Y64-$C$61)/$C$61</f>
        <v>#DIV/0!</v>
      </c>
    </row>
    <row r="74" spans="19:25" x14ac:dyDescent="0.25">
      <c r="S74" s="36" t="s">
        <v>119</v>
      </c>
      <c r="T74" s="41">
        <f>T73+0.005</f>
        <v>2.5000000000000001E-2</v>
      </c>
      <c r="U74" s="43" t="e">
        <f t="shared" ca="1" si="40"/>
        <v>#DIV/0!</v>
      </c>
      <c r="V74" s="44" t="e">
        <f t="shared" ca="1" si="40"/>
        <v>#DIV/0!</v>
      </c>
      <c r="W74" s="44" t="e">
        <f t="shared" ca="1" si="40"/>
        <v>#DIV/0!</v>
      </c>
      <c r="X74" s="44" t="e">
        <f t="shared" ca="1" si="40"/>
        <v>#DIV/0!</v>
      </c>
      <c r="Y74" s="43" t="e">
        <f t="shared" ca="1" si="40"/>
        <v>#DIV/0!</v>
      </c>
    </row>
    <row r="75" spans="19:25" x14ac:dyDescent="0.25">
      <c r="S75" s="38"/>
      <c r="T75" s="41">
        <f>T74+0.005</f>
        <v>3.0000000000000002E-2</v>
      </c>
      <c r="U75" s="43" t="e">
        <f t="shared" ca="1" si="40"/>
        <v>#DIV/0!</v>
      </c>
      <c r="V75" s="43" t="e">
        <f t="shared" ca="1" si="40"/>
        <v>#DIV/0!</v>
      </c>
      <c r="W75" s="43" t="e">
        <f t="shared" ca="1" si="40"/>
        <v>#DIV/0!</v>
      </c>
      <c r="X75" s="43" t="e">
        <f t="shared" ca="1" si="40"/>
        <v>#DIV/0!</v>
      </c>
      <c r="Y75" s="43" t="e">
        <f t="shared" ca="1" si="40"/>
        <v>#DIV/0!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4" name="Button 1">
              <controlPr defaultSize="0" print="0" autoFill="0" autoPict="0" macro="[0]!BacktoHub">
                <anchor moveWithCells="1" sizeWithCells="1">
                  <from>
                    <xdr:col>9</xdr:col>
                    <xdr:colOff>85725</xdr:colOff>
                    <xdr:row>2</xdr:row>
                    <xdr:rowOff>114300</xdr:rowOff>
                  </from>
                  <to>
                    <xdr:col>10</xdr:col>
                    <xdr:colOff>628650</xdr:colOff>
                    <xdr:row>5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FE6F3C-93A5-42F6-9AAC-4B3270529811}">
  <sheetPr codeName="Sheet20">
    <tabColor rgb="FF0070C0"/>
  </sheetPr>
  <dimension ref="A1"/>
  <sheetViews>
    <sheetView workbookViewId="0">
      <selection activeCell="S35" sqref="S35"/>
    </sheetView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EC96E7-435A-4044-BEC3-51375FDAEEAE}">
  <sheetPr codeName="Sheet4"/>
  <dimension ref="B2:AJ226"/>
  <sheetViews>
    <sheetView topLeftCell="A96" zoomScale="85" zoomScaleNormal="85" workbookViewId="0">
      <selection activeCell="J108" sqref="J108"/>
    </sheetView>
  </sheetViews>
  <sheetFormatPr defaultRowHeight="15" x14ac:dyDescent="0.25"/>
  <cols>
    <col min="3" max="3" width="29.7109375" customWidth="1"/>
    <col min="5" max="5" width="11.5703125" customWidth="1"/>
    <col min="6" max="8" width="11.5703125" bestFit="1" customWidth="1"/>
    <col min="9" max="10" width="11.5703125" customWidth="1"/>
    <col min="11" max="19" width="11.5703125" bestFit="1" customWidth="1"/>
  </cols>
  <sheetData>
    <row r="2" spans="3:19" ht="15.75" thickBot="1" x14ac:dyDescent="0.3">
      <c r="C2" s="6" t="str">
        <f>DCF!C2</f>
        <v>CAESARS ENTERTAINMENT INC</v>
      </c>
      <c r="D2" s="6" t="s">
        <v>28</v>
      </c>
      <c r="E2" s="19"/>
      <c r="F2" s="19"/>
      <c r="G2" s="19"/>
      <c r="H2" s="19"/>
      <c r="I2" s="19"/>
      <c r="J2" s="19"/>
      <c r="K2" s="19"/>
      <c r="L2" s="19"/>
      <c r="M2" s="19"/>
      <c r="N2" s="19"/>
      <c r="O2" s="19"/>
      <c r="P2" s="19"/>
      <c r="Q2" s="19"/>
      <c r="R2" s="19"/>
      <c r="S2" s="19"/>
    </row>
    <row r="3" spans="3:19" ht="15.75" thickTop="1" x14ac:dyDescent="0.25">
      <c r="C3" t="str">
        <f>DCF!C3</f>
        <v>All Figures in USD Millions, expect for per share data</v>
      </c>
    </row>
    <row r="4" spans="3:19" x14ac:dyDescent="0.25">
      <c r="C4" t="s">
        <v>74</v>
      </c>
    </row>
    <row r="6" spans="3:19" x14ac:dyDescent="0.25">
      <c r="E6" s="5"/>
      <c r="F6" s="1"/>
      <c r="G6" s="2" t="s">
        <v>80</v>
      </c>
      <c r="H6" s="1"/>
      <c r="I6" s="1"/>
      <c r="J6" s="4"/>
      <c r="K6" s="3"/>
      <c r="L6" s="3"/>
      <c r="M6" s="3"/>
      <c r="N6" s="3" t="s">
        <v>81</v>
      </c>
      <c r="O6" s="3"/>
      <c r="P6" s="3"/>
      <c r="Q6" s="3"/>
      <c r="R6" s="3"/>
      <c r="S6" s="3"/>
    </row>
    <row r="7" spans="3:19" x14ac:dyDescent="0.25">
      <c r="E7" s="7">
        <f ca="1">YEAR(E8)</f>
        <v>2019</v>
      </c>
      <c r="F7" s="7">
        <f t="shared" ref="F7:I7" ca="1" si="0">YEAR(F8)</f>
        <v>2020</v>
      </c>
      <c r="G7" s="7">
        <f t="shared" ca="1" si="0"/>
        <v>2021</v>
      </c>
      <c r="H7" s="7">
        <f t="shared" ca="1" si="0"/>
        <v>2022</v>
      </c>
      <c r="I7" s="7">
        <f t="shared" ca="1" si="0"/>
        <v>2023</v>
      </c>
      <c r="J7" s="8">
        <f ca="1">YEAR(J8)</f>
        <v>2024</v>
      </c>
      <c r="K7" s="8">
        <f t="shared" ref="K7:S7" ca="1" si="1">YEAR(K8)</f>
        <v>2025</v>
      </c>
      <c r="L7" s="8">
        <f t="shared" ca="1" si="1"/>
        <v>2026</v>
      </c>
      <c r="M7" s="8">
        <f t="shared" ca="1" si="1"/>
        <v>2027</v>
      </c>
      <c r="N7" s="8">
        <f t="shared" ca="1" si="1"/>
        <v>2028</v>
      </c>
      <c r="O7" s="8">
        <f t="shared" ca="1" si="1"/>
        <v>2029</v>
      </c>
      <c r="P7" s="8">
        <f t="shared" ca="1" si="1"/>
        <v>2030</v>
      </c>
      <c r="Q7" s="8">
        <f t="shared" ca="1" si="1"/>
        <v>2031</v>
      </c>
      <c r="R7" s="8">
        <f t="shared" ca="1" si="1"/>
        <v>2032</v>
      </c>
      <c r="S7" s="8">
        <f t="shared" ca="1" si="1"/>
        <v>2033</v>
      </c>
    </row>
    <row r="8" spans="3:19" x14ac:dyDescent="0.25">
      <c r="E8" s="9">
        <f t="shared" ref="E8:G8" ca="1" si="2">EOMONTH(F8,-12)</f>
        <v>43830</v>
      </c>
      <c r="F8" s="9">
        <f t="shared" ca="1" si="2"/>
        <v>44196</v>
      </c>
      <c r="G8" s="9">
        <f t="shared" ca="1" si="2"/>
        <v>44561</v>
      </c>
      <c r="H8" s="9">
        <f ca="1">EOMONTH(I8,-12)</f>
        <v>44926</v>
      </c>
      <c r="I8" s="9">
        <f ca="1">DCF!D10</f>
        <v>45291</v>
      </c>
      <c r="J8" s="9">
        <f ca="1">EOMONTH(I8,12)</f>
        <v>45657</v>
      </c>
      <c r="K8" s="9">
        <f t="shared" ref="K8:N8" ca="1" si="3">EOMONTH(J8,12)</f>
        <v>46022</v>
      </c>
      <c r="L8" s="9">
        <f t="shared" ca="1" si="3"/>
        <v>46387</v>
      </c>
      <c r="M8" s="9">
        <f t="shared" ca="1" si="3"/>
        <v>46752</v>
      </c>
      <c r="N8" s="9">
        <f t="shared" ca="1" si="3"/>
        <v>47118</v>
      </c>
      <c r="O8" s="9">
        <f t="shared" ref="O8" ca="1" si="4">EOMONTH(N8,12)</f>
        <v>47483</v>
      </c>
      <c r="P8" s="9">
        <f t="shared" ref="P8" ca="1" si="5">EOMONTH(O8,12)</f>
        <v>47848</v>
      </c>
      <c r="Q8" s="9">
        <f t="shared" ref="Q8" ca="1" si="6">EOMONTH(P8,12)</f>
        <v>48213</v>
      </c>
      <c r="R8" s="9">
        <f t="shared" ref="R8" ca="1" si="7">EOMONTH(Q8,12)</f>
        <v>48579</v>
      </c>
      <c r="S8" s="9">
        <f t="shared" ref="S8" ca="1" si="8">EOMONTH(R8,12)</f>
        <v>48944</v>
      </c>
    </row>
    <row r="9" spans="3:19" x14ac:dyDescent="0.25">
      <c r="E9" s="267" t="s">
        <v>357</v>
      </c>
      <c r="F9" s="267" t="s">
        <v>356</v>
      </c>
      <c r="G9" s="267" t="s">
        <v>355</v>
      </c>
      <c r="H9" s="267" t="s">
        <v>353</v>
      </c>
      <c r="I9" s="267" t="s">
        <v>354</v>
      </c>
    </row>
    <row r="10" spans="3:19" x14ac:dyDescent="0.25">
      <c r="C10" s="10" t="s">
        <v>120</v>
      </c>
      <c r="D10" s="66"/>
      <c r="E10" s="66"/>
      <c r="F10" s="66"/>
      <c r="G10" s="66"/>
      <c r="H10" s="66"/>
      <c r="I10" s="66"/>
      <c r="J10" s="66"/>
      <c r="K10" s="66"/>
      <c r="L10" s="66"/>
      <c r="M10" s="66"/>
      <c r="N10" s="66"/>
      <c r="O10" s="66"/>
      <c r="P10" s="66"/>
      <c r="Q10" s="66"/>
      <c r="R10" s="66"/>
      <c r="S10" s="66"/>
    </row>
    <row r="11" spans="3:19" x14ac:dyDescent="0.25">
      <c r="D11" s="66"/>
      <c r="E11" s="66"/>
      <c r="F11" s="66"/>
      <c r="G11" s="66"/>
      <c r="H11" s="66"/>
      <c r="I11" s="66"/>
      <c r="J11" s="66"/>
      <c r="K11" s="66"/>
      <c r="L11" s="66"/>
      <c r="M11" s="66"/>
      <c r="N11" s="66"/>
      <c r="O11" s="66"/>
      <c r="P11" s="66"/>
      <c r="Q11" s="66"/>
      <c r="R11" s="66"/>
      <c r="S11" s="66"/>
    </row>
    <row r="12" spans="3:19" x14ac:dyDescent="0.25">
      <c r="C12" t="s">
        <v>121</v>
      </c>
      <c r="D12" s="66"/>
      <c r="E12" s="258">
        <f>Revenue_Build!D6</f>
        <v>1808</v>
      </c>
      <c r="F12" s="258">
        <f>Revenue_Build!E6</f>
        <v>2482</v>
      </c>
      <c r="G12" s="258">
        <f>Revenue_Build!F6</f>
        <v>5827</v>
      </c>
      <c r="H12" s="258">
        <f>Revenue_Build!G6</f>
        <v>5997</v>
      </c>
      <c r="I12" s="258">
        <f>Revenue_Build!H6</f>
        <v>6367</v>
      </c>
      <c r="J12" s="258">
        <f>Revenue_Build!I6</f>
        <v>8189.9666748176778</v>
      </c>
      <c r="K12" s="258">
        <f>Revenue_Build!J6</f>
        <v>10534.875786810762</v>
      </c>
      <c r="L12" s="258">
        <f>Revenue_Build!K6</f>
        <v>13551.167208626324</v>
      </c>
      <c r="M12" s="258">
        <f>Revenue_Build!L6</f>
        <v>17431.067668216067</v>
      </c>
      <c r="N12" s="258">
        <f>Revenue_Build!M6</f>
        <v>22421.841261061956</v>
      </c>
      <c r="O12" s="258">
        <f>Revenue_Build!N6</f>
        <v>28841.547466020009</v>
      </c>
      <c r="P12" s="258">
        <f>Revenue_Build!O6</f>
        <v>37099.310915168229</v>
      </c>
      <c r="Q12" s="258">
        <f>Revenue_Build!P6</f>
        <v>47721.39469984726</v>
      </c>
      <c r="R12" s="258">
        <f>Revenue_Build!Q6</f>
        <v>61384.738851510912</v>
      </c>
      <c r="S12" s="258">
        <f>Revenue_Build!R6</f>
        <v>78960.101387821633</v>
      </c>
    </row>
    <row r="13" spans="3:19" x14ac:dyDescent="0.25">
      <c r="C13" s="11" t="s">
        <v>84</v>
      </c>
      <c r="D13" s="66"/>
      <c r="E13" s="103" t="s">
        <v>85</v>
      </c>
      <c r="F13" s="103">
        <f>((F12-E12)/E12)</f>
        <v>0.37278761061946902</v>
      </c>
      <c r="G13" s="103">
        <f t="shared" ref="G13:N13" si="9">((G12-F12)/F12)</f>
        <v>1.3477034649476229</v>
      </c>
      <c r="H13" s="103">
        <f t="shared" si="9"/>
        <v>2.9174532349407929E-2</v>
      </c>
      <c r="I13" s="103">
        <f t="shared" si="9"/>
        <v>6.1697515424378853E-2</v>
      </c>
      <c r="J13" s="103">
        <f t="shared" si="9"/>
        <v>0.28631485390571348</v>
      </c>
      <c r="K13" s="103">
        <f t="shared" si="9"/>
        <v>0.28631485390571337</v>
      </c>
      <c r="L13" s="103">
        <f t="shared" si="9"/>
        <v>0.28631485390571348</v>
      </c>
      <c r="M13" s="103">
        <f t="shared" si="9"/>
        <v>0.28631485390571354</v>
      </c>
      <c r="N13" s="103">
        <f t="shared" si="9"/>
        <v>0.28631485390571354</v>
      </c>
      <c r="O13" s="103">
        <f t="shared" ref="O13" si="10">((O12-N12)/N12)</f>
        <v>0.28631485390571348</v>
      </c>
      <c r="P13" s="103">
        <f t="shared" ref="P13" si="11">((P12-O12)/O12)</f>
        <v>0.28631485390571348</v>
      </c>
      <c r="Q13" s="103">
        <f t="shared" ref="Q13" si="12">((Q12-P12)/P12)</f>
        <v>0.28631485390571343</v>
      </c>
      <c r="R13" s="103">
        <f t="shared" ref="R13" si="13">((R12-Q12)/Q12)</f>
        <v>0.28631485390571337</v>
      </c>
      <c r="S13" s="103">
        <f t="shared" ref="S13" si="14">((S12-R12)/R12)</f>
        <v>0.28631485390571348</v>
      </c>
    </row>
    <row r="14" spans="3:19" x14ac:dyDescent="0.25">
      <c r="C14" s="11"/>
      <c r="D14" s="66"/>
      <c r="E14" s="66"/>
      <c r="F14" s="66"/>
      <c r="G14" s="66"/>
      <c r="H14" s="66"/>
      <c r="I14" s="66"/>
      <c r="J14" s="66"/>
      <c r="K14" s="66"/>
      <c r="L14" s="66"/>
      <c r="M14" s="66"/>
      <c r="N14" s="66"/>
      <c r="O14" s="66"/>
      <c r="P14" s="66"/>
      <c r="Q14" s="66"/>
      <c r="R14" s="66"/>
      <c r="S14" s="66"/>
    </row>
    <row r="15" spans="3:19" x14ac:dyDescent="0.25">
      <c r="C15" t="s">
        <v>122</v>
      </c>
      <c r="D15" s="66"/>
      <c r="E15" s="258">
        <f>Revenue_Build!D9</f>
        <v>300</v>
      </c>
      <c r="F15" s="258">
        <f>Revenue_Build!E9</f>
        <v>450</v>
      </c>
      <c r="G15" s="258">
        <f>Revenue_Build!F9</f>
        <v>1551</v>
      </c>
      <c r="H15" s="258">
        <f>Revenue_Build!G9</f>
        <v>1957</v>
      </c>
      <c r="I15" s="258">
        <f>Revenue_Build!H9</f>
        <v>2090</v>
      </c>
      <c r="J15" s="258">
        <f>Revenue_Build!I9</f>
        <v>3081.4228051304863</v>
      </c>
      <c r="K15" s="258">
        <f>Revenue_Build!J9</f>
        <v>4543.1418679321696</v>
      </c>
      <c r="L15" s="258">
        <f>Revenue_Build!K9</f>
        <v>6698.2492625786135</v>
      </c>
      <c r="M15" s="258">
        <f>Revenue_Build!L9</f>
        <v>9875.6641302192347</v>
      </c>
      <c r="N15" s="258">
        <f>Revenue_Build!M9</f>
        <v>14560.333333333338</v>
      </c>
      <c r="O15" s="258">
        <f>Revenue_Build!N9</f>
        <v>21467.245542409059</v>
      </c>
      <c r="P15" s="258">
        <f>Revenue_Build!O9</f>
        <v>31650.555013260786</v>
      </c>
      <c r="Q15" s="258">
        <f>Revenue_Build!P9</f>
        <v>46664.469862631013</v>
      </c>
      <c r="R15" s="258">
        <f>Revenue_Build!Q9</f>
        <v>68800.460107194012</v>
      </c>
      <c r="S15" s="258">
        <f>Revenue_Build!R9</f>
        <v>101436.98888888894</v>
      </c>
    </row>
    <row r="16" spans="3:19" x14ac:dyDescent="0.25">
      <c r="C16" s="11" t="s">
        <v>84</v>
      </c>
      <c r="D16" s="66"/>
      <c r="E16" s="103" t="s">
        <v>85</v>
      </c>
      <c r="F16" s="103">
        <f>((F15-E15)/E15)</f>
        <v>0.5</v>
      </c>
      <c r="G16" s="103">
        <f t="shared" ref="G16" si="15">((G15-F15)/F15)</f>
        <v>2.4466666666666668</v>
      </c>
      <c r="H16" s="103">
        <f t="shared" ref="H16" si="16">((H15-G15)/G15)</f>
        <v>0.2617666021921341</v>
      </c>
      <c r="I16" s="103">
        <f t="shared" ref="I16" si="17">((I15-H15)/H15)</f>
        <v>6.7961165048543687E-2</v>
      </c>
      <c r="J16" s="103">
        <f t="shared" ref="J16" si="18">((J15-I15)/I15)</f>
        <v>0.47436497853133314</v>
      </c>
      <c r="K16" s="103">
        <f t="shared" ref="K16" si="19">((K15-J15)/J15)</f>
        <v>0.47436497853133308</v>
      </c>
      <c r="L16" s="103">
        <f t="shared" ref="L16" si="20">((L15-K15)/K15)</f>
        <v>0.47436497853133303</v>
      </c>
      <c r="M16" s="103">
        <f t="shared" ref="M16" si="21">((M15-L15)/L15)</f>
        <v>0.47436497853133303</v>
      </c>
      <c r="N16" s="103">
        <f t="shared" ref="N16" si="22">((N15-M15)/M15)</f>
        <v>0.47436497853133303</v>
      </c>
      <c r="O16" s="103">
        <f t="shared" ref="O16" si="23">((O15-N15)/N15)</f>
        <v>0.47436497853133303</v>
      </c>
      <c r="P16" s="103">
        <f t="shared" ref="P16" si="24">((P15-O15)/O15)</f>
        <v>0.47436497853133303</v>
      </c>
      <c r="Q16" s="103">
        <f t="shared" ref="Q16" si="25">((Q15-P15)/P15)</f>
        <v>0.47436497853133303</v>
      </c>
      <c r="R16" s="103">
        <f t="shared" ref="R16" si="26">((R15-Q15)/Q15)</f>
        <v>0.47436497853133308</v>
      </c>
      <c r="S16" s="103">
        <f t="shared" ref="S16" si="27">((S15-R15)/R15)</f>
        <v>0.47436497853133308</v>
      </c>
    </row>
    <row r="17" spans="3:19" x14ac:dyDescent="0.25">
      <c r="C17" s="11"/>
      <c r="D17" s="66"/>
      <c r="E17" s="66"/>
      <c r="F17" s="66"/>
      <c r="G17" s="66"/>
      <c r="H17" s="66"/>
      <c r="I17" s="66"/>
      <c r="J17" s="66"/>
      <c r="K17" s="66"/>
      <c r="L17" s="66"/>
      <c r="M17" s="66"/>
      <c r="N17" s="66"/>
      <c r="O17" s="66"/>
      <c r="P17" s="66"/>
      <c r="Q17" s="66"/>
      <c r="R17" s="66"/>
      <c r="S17" s="66"/>
    </row>
    <row r="18" spans="3:19" x14ac:dyDescent="0.25">
      <c r="C18" t="s">
        <v>123</v>
      </c>
      <c r="D18" s="66"/>
      <c r="E18" s="258">
        <f>Revenue_Build!D12</f>
        <v>301</v>
      </c>
      <c r="F18" s="258">
        <f>Revenue_Build!E12</f>
        <v>342</v>
      </c>
      <c r="G18" s="258">
        <f>Revenue_Build!F12</f>
        <v>1140</v>
      </c>
      <c r="H18" s="258">
        <f>Revenue_Build!G12</f>
        <v>1596</v>
      </c>
      <c r="I18" s="258">
        <f>Revenue_Build!H12</f>
        <v>1728</v>
      </c>
      <c r="J18" s="258">
        <f>Revenue_Build!I12</f>
        <v>2450.9767223726335</v>
      </c>
      <c r="K18" s="258">
        <f>Revenue_Build!J12</f>
        <v>3476.439174544269</v>
      </c>
      <c r="L18" s="258">
        <f>Revenue_Build!K12</f>
        <v>4930.9441513613056</v>
      </c>
      <c r="M18" s="258">
        <f>Revenue_Build!L12</f>
        <v>6993.9984573530319</v>
      </c>
      <c r="N18" s="258">
        <f>Revenue_Build!M12</f>
        <v>9920.2126245847157</v>
      </c>
      <c r="O18" s="258">
        <f>Revenue_Build!N12</f>
        <v>14070.723509169136</v>
      </c>
      <c r="P18" s="258">
        <f>Revenue_Build!O12</f>
        <v>19957.763766154472</v>
      </c>
      <c r="Q18" s="258">
        <f>Revenue_Build!P12</f>
        <v>28307.878716120715</v>
      </c>
      <c r="R18" s="258">
        <f>Revenue_Build!Q12</f>
        <v>40151.592472777535</v>
      </c>
      <c r="S18" s="258">
        <f>Revenue_Build!R12</f>
        <v>56950.589419542812</v>
      </c>
    </row>
    <row r="19" spans="3:19" x14ac:dyDescent="0.25">
      <c r="C19" s="11" t="s">
        <v>84</v>
      </c>
      <c r="D19" s="66"/>
      <c r="E19" s="103" t="s">
        <v>85</v>
      </c>
      <c r="F19" s="103">
        <f>((F18-E18)/E18)</f>
        <v>0.13621262458471761</v>
      </c>
      <c r="G19" s="103">
        <f t="shared" ref="G19" si="28">((G18-F18)/F18)</f>
        <v>2.3333333333333335</v>
      </c>
      <c r="H19" s="103">
        <f t="shared" ref="H19" si="29">((H18-G18)/G18)</f>
        <v>0.4</v>
      </c>
      <c r="I19" s="103">
        <f t="shared" ref="I19" si="30">((I18-H18)/H18)</f>
        <v>8.2706766917293228E-2</v>
      </c>
      <c r="J19" s="103">
        <f t="shared" ref="J19" si="31">((J18-I18)/I18)</f>
        <v>0.41838930692860737</v>
      </c>
      <c r="K19" s="103">
        <f t="shared" ref="K19" si="32">((K18-J18)/J18)</f>
        <v>0.41838930692860721</v>
      </c>
      <c r="L19" s="103">
        <f t="shared" ref="L19" si="33">((L18-K18)/K18)</f>
        <v>0.41838930692860737</v>
      </c>
      <c r="M19" s="103">
        <f t="shared" ref="M19" si="34">((M18-L18)/L18)</f>
        <v>0.41838930692860732</v>
      </c>
      <c r="N19" s="103">
        <f t="shared" ref="N19" si="35">((N18-M18)/M18)</f>
        <v>0.41838930692860732</v>
      </c>
      <c r="O19" s="103">
        <f t="shared" ref="O19" si="36">((O18-N18)/N18)</f>
        <v>0.41838930692860743</v>
      </c>
      <c r="P19" s="103">
        <f t="shared" ref="P19" si="37">((P18-O18)/O18)</f>
        <v>0.41838930692860726</v>
      </c>
      <c r="Q19" s="103">
        <f t="shared" ref="Q19" si="38">((Q18-P18)/P18)</f>
        <v>0.41838930692860737</v>
      </c>
      <c r="R19" s="103">
        <f t="shared" ref="R19" si="39">((R18-Q18)/Q18)</f>
        <v>0.41838930692860732</v>
      </c>
      <c r="S19" s="103">
        <f t="shared" ref="S19" si="40">((S18-R18)/R18)</f>
        <v>0.41838930692860726</v>
      </c>
    </row>
    <row r="20" spans="3:19" x14ac:dyDescent="0.25">
      <c r="C20" s="11"/>
      <c r="D20" s="66"/>
      <c r="E20" s="66"/>
      <c r="F20" s="66"/>
      <c r="G20" s="66"/>
      <c r="H20" s="66"/>
      <c r="I20" s="66"/>
      <c r="J20" s="66"/>
      <c r="K20" s="66"/>
      <c r="L20" s="66"/>
      <c r="M20" s="66"/>
      <c r="N20" s="66"/>
      <c r="O20" s="66"/>
      <c r="P20" s="66"/>
      <c r="Q20" s="66"/>
      <c r="R20" s="66"/>
      <c r="S20" s="66"/>
    </row>
    <row r="21" spans="3:19" x14ac:dyDescent="0.25">
      <c r="C21" t="s">
        <v>124</v>
      </c>
      <c r="D21" s="66"/>
      <c r="E21" s="258">
        <f>Revenue_Build!D15</f>
        <v>119</v>
      </c>
      <c r="F21" s="258">
        <f>Revenue_Build!E15</f>
        <v>354</v>
      </c>
      <c r="G21" s="258">
        <f>Revenue_Build!F15</f>
        <v>1052</v>
      </c>
      <c r="H21" s="258">
        <f>Revenue_Build!G15</f>
        <v>1271</v>
      </c>
      <c r="I21" s="258">
        <f>Revenue_Build!H15</f>
        <v>1343</v>
      </c>
      <c r="J21" s="258">
        <f>Revenue_Build!I15</f>
        <v>2180.6291982840303</v>
      </c>
      <c r="K21" s="258">
        <f>Revenue_Build!J15</f>
        <v>3540.6877888375675</v>
      </c>
      <c r="L21" s="258">
        <f>Revenue_Build!K15</f>
        <v>5749.0150218517656</v>
      </c>
      <c r="M21" s="258">
        <f>Revenue_Build!L15</f>
        <v>9334.6761117077167</v>
      </c>
      <c r="N21" s="258">
        <f>Revenue_Build!M15</f>
        <v>15156.714285714288</v>
      </c>
      <c r="O21" s="258">
        <f>Revenue_Build!N15</f>
        <v>24609.958094919773</v>
      </c>
      <c r="P21" s="258">
        <f>Revenue_Build!O15</f>
        <v>39959.190759738267</v>
      </c>
      <c r="Q21" s="258">
        <f>Revenue_Build!P15</f>
        <v>64881.740960898504</v>
      </c>
      <c r="R21" s="258">
        <f>Revenue_Build!Q15</f>
        <v>105348.48754641566</v>
      </c>
      <c r="S21" s="258">
        <f>Revenue_Build!R15</f>
        <v>171054.34693877553</v>
      </c>
    </row>
    <row r="22" spans="3:19" x14ac:dyDescent="0.25">
      <c r="C22" s="11" t="s">
        <v>84</v>
      </c>
      <c r="D22" s="66"/>
      <c r="E22" s="103" t="s">
        <v>85</v>
      </c>
      <c r="F22" s="103">
        <f>((F21-E21)/E21)</f>
        <v>1.9747899159663866</v>
      </c>
      <c r="G22" s="103">
        <f t="shared" ref="G22" si="41">((G21-F21)/F21)</f>
        <v>1.9717514124293785</v>
      </c>
      <c r="H22" s="103">
        <f t="shared" ref="H22" si="42">((H21-G21)/G21)</f>
        <v>0.20817490494296578</v>
      </c>
      <c r="I22" s="103">
        <f t="shared" ref="I22" si="43">((I21-H21)/H21)</f>
        <v>5.6648308418568057E-2</v>
      </c>
      <c r="J22" s="103">
        <f t="shared" ref="J22" si="44">((J21-I21)/I21)</f>
        <v>0.62370007318244991</v>
      </c>
      <c r="K22" s="103">
        <f t="shared" ref="K22" si="45">((K21-J21)/J21)</f>
        <v>0.62370007318245013</v>
      </c>
      <c r="L22" s="103">
        <f t="shared" ref="L22" si="46">((L21-K21)/K21)</f>
        <v>0.62370007318245002</v>
      </c>
      <c r="M22" s="103">
        <f t="shared" ref="M22" si="47">((M21-L21)/L21)</f>
        <v>0.62370007318245013</v>
      </c>
      <c r="N22" s="103">
        <f t="shared" ref="N22" si="48">((N21-M21)/M21)</f>
        <v>0.62370007318245002</v>
      </c>
      <c r="O22" s="103">
        <f t="shared" ref="O22" si="49">((O21-N21)/N21)</f>
        <v>0.62370007318244991</v>
      </c>
      <c r="P22" s="103">
        <f t="shared" ref="P22" si="50">((P21-O21)/O21)</f>
        <v>0.62370007318245013</v>
      </c>
      <c r="Q22" s="103">
        <f t="shared" ref="Q22" si="51">((Q21-P21)/P21)</f>
        <v>0.62370007318245002</v>
      </c>
      <c r="R22" s="103">
        <f t="shared" ref="R22" si="52">((R21-Q21)/Q21)</f>
        <v>0.62370007318245002</v>
      </c>
      <c r="S22" s="103">
        <f t="shared" ref="S22" si="53">((S21-R21)/R21)</f>
        <v>0.62370007318244991</v>
      </c>
    </row>
    <row r="23" spans="3:19" x14ac:dyDescent="0.25">
      <c r="C23" s="11"/>
      <c r="D23" s="66"/>
      <c r="E23" s="66"/>
      <c r="F23" s="66"/>
      <c r="G23" s="66"/>
      <c r="H23" s="66"/>
      <c r="I23" s="66"/>
      <c r="J23" s="66"/>
      <c r="K23" s="66"/>
      <c r="L23" s="66"/>
      <c r="M23" s="66"/>
      <c r="N23" s="66"/>
      <c r="O23" s="66"/>
      <c r="P23" s="66"/>
      <c r="Q23" s="66"/>
      <c r="R23" s="66"/>
      <c r="S23" s="66"/>
    </row>
    <row r="24" spans="3:19" x14ac:dyDescent="0.25">
      <c r="C24" t="s">
        <v>125</v>
      </c>
      <c r="D24" s="66"/>
      <c r="E24" s="258">
        <f>Revenue_Build!D18</f>
        <v>0</v>
      </c>
      <c r="F24" s="258">
        <f>Revenue_Build!E18</f>
        <v>0</v>
      </c>
      <c r="G24" s="258">
        <f>Revenue_Build!F18</f>
        <v>0</v>
      </c>
      <c r="H24" s="258">
        <f>Revenue_Build!G18</f>
        <v>0</v>
      </c>
      <c r="I24" s="258">
        <f>Revenue_Build!H18</f>
        <v>0</v>
      </c>
      <c r="J24" s="258">
        <f>Revenue_Build!I18</f>
        <v>0</v>
      </c>
      <c r="K24" s="258">
        <f>Revenue_Build!J18</f>
        <v>0</v>
      </c>
      <c r="L24" s="258">
        <f>Revenue_Build!K18</f>
        <v>0</v>
      </c>
      <c r="M24" s="258">
        <f>Revenue_Build!L18</f>
        <v>0</v>
      </c>
      <c r="N24" s="258">
        <f>Revenue_Build!M18</f>
        <v>0</v>
      </c>
      <c r="O24" s="258">
        <f>Revenue_Build!N18</f>
        <v>0</v>
      </c>
      <c r="P24" s="258">
        <f>Revenue_Build!O18</f>
        <v>0</v>
      </c>
      <c r="Q24" s="258">
        <f>Revenue_Build!P18</f>
        <v>0</v>
      </c>
      <c r="R24" s="258">
        <f>Revenue_Build!Q18</f>
        <v>0</v>
      </c>
      <c r="S24" s="258">
        <f>Revenue_Build!R18</f>
        <v>0</v>
      </c>
    </row>
    <row r="25" spans="3:19" x14ac:dyDescent="0.25">
      <c r="C25" s="11" t="s">
        <v>84</v>
      </c>
      <c r="D25" s="66"/>
      <c r="E25" s="103" t="s">
        <v>85</v>
      </c>
      <c r="F25" s="103" t="e">
        <f>((F24-E24)/E24)</f>
        <v>#DIV/0!</v>
      </c>
      <c r="G25" s="103" t="e">
        <f t="shared" ref="G25" si="54">((G24-F24)/F24)</f>
        <v>#DIV/0!</v>
      </c>
      <c r="H25" s="103" t="e">
        <f t="shared" ref="H25" si="55">((H24-G24)/G24)</f>
        <v>#DIV/0!</v>
      </c>
      <c r="I25" s="103" t="e">
        <f t="shared" ref="I25" si="56">((I24-H24)/H24)</f>
        <v>#DIV/0!</v>
      </c>
      <c r="J25" s="103" t="e">
        <f t="shared" ref="J25" si="57">((J24-I24)/I24)</f>
        <v>#DIV/0!</v>
      </c>
      <c r="K25" s="103" t="e">
        <f t="shared" ref="K25" si="58">((K24-J24)/J24)</f>
        <v>#DIV/0!</v>
      </c>
      <c r="L25" s="103" t="e">
        <f t="shared" ref="L25" si="59">((L24-K24)/K24)</f>
        <v>#DIV/0!</v>
      </c>
      <c r="M25" s="103" t="e">
        <f t="shared" ref="M25" si="60">((M24-L24)/L24)</f>
        <v>#DIV/0!</v>
      </c>
      <c r="N25" s="103" t="e">
        <f t="shared" ref="N25" si="61">((N24-M24)/M24)</f>
        <v>#DIV/0!</v>
      </c>
      <c r="O25" s="103" t="e">
        <f t="shared" ref="O25" si="62">((O24-N24)/N24)</f>
        <v>#DIV/0!</v>
      </c>
      <c r="P25" s="103" t="e">
        <f t="shared" ref="P25" si="63">((P24-O24)/O24)</f>
        <v>#DIV/0!</v>
      </c>
      <c r="Q25" s="103" t="e">
        <f t="shared" ref="Q25" si="64">((Q24-P24)/P24)</f>
        <v>#DIV/0!</v>
      </c>
      <c r="R25" s="103" t="e">
        <f t="shared" ref="R25" si="65">((R24-Q24)/Q24)</f>
        <v>#DIV/0!</v>
      </c>
      <c r="S25" s="103" t="e">
        <f t="shared" ref="S25" si="66">((S24-R24)/R24)</f>
        <v>#DIV/0!</v>
      </c>
    </row>
    <row r="26" spans="3:19" x14ac:dyDescent="0.25">
      <c r="C26" s="11"/>
      <c r="D26" s="66"/>
      <c r="E26" s="66"/>
      <c r="F26" s="66"/>
      <c r="G26" s="66"/>
      <c r="H26" s="66"/>
      <c r="I26" s="66"/>
      <c r="J26" s="66"/>
      <c r="K26" s="66"/>
      <c r="L26" s="66"/>
      <c r="M26" s="66"/>
      <c r="N26" s="66"/>
      <c r="O26" s="66"/>
      <c r="P26" s="66"/>
      <c r="Q26" s="66"/>
      <c r="R26" s="66"/>
      <c r="S26" s="66"/>
    </row>
    <row r="27" spans="3:19" x14ac:dyDescent="0.25">
      <c r="C27" t="s">
        <v>126</v>
      </c>
      <c r="D27" s="66"/>
      <c r="E27" s="258">
        <f>Revenue_Build!D21</f>
        <v>0</v>
      </c>
      <c r="F27" s="258">
        <f>Revenue_Build!E21</f>
        <v>0</v>
      </c>
      <c r="G27" s="258">
        <f>Revenue_Build!F21</f>
        <v>0</v>
      </c>
      <c r="H27" s="258">
        <f>Revenue_Build!G21</f>
        <v>0</v>
      </c>
      <c r="I27" s="258">
        <f>Revenue_Build!H21</f>
        <v>0</v>
      </c>
      <c r="J27" s="258">
        <f>Revenue_Build!I21</f>
        <v>0</v>
      </c>
      <c r="K27" s="258">
        <f>Revenue_Build!J21</f>
        <v>0</v>
      </c>
      <c r="L27" s="258">
        <f>Revenue_Build!K21</f>
        <v>0</v>
      </c>
      <c r="M27" s="258">
        <f>Revenue_Build!L21</f>
        <v>0</v>
      </c>
      <c r="N27" s="258">
        <f>Revenue_Build!M21</f>
        <v>0</v>
      </c>
      <c r="O27" s="258">
        <f>Revenue_Build!N21</f>
        <v>0</v>
      </c>
      <c r="P27" s="258">
        <f>Revenue_Build!O21</f>
        <v>0</v>
      </c>
      <c r="Q27" s="258">
        <f>Revenue_Build!P21</f>
        <v>0</v>
      </c>
      <c r="R27" s="258">
        <f>Revenue_Build!Q21</f>
        <v>0</v>
      </c>
      <c r="S27" s="258">
        <f>Revenue_Build!R21</f>
        <v>0</v>
      </c>
    </row>
    <row r="28" spans="3:19" x14ac:dyDescent="0.25">
      <c r="C28" s="11" t="s">
        <v>84</v>
      </c>
      <c r="D28" s="66"/>
      <c r="E28" s="103" t="s">
        <v>85</v>
      </c>
      <c r="F28" s="103" t="e">
        <f>((F27-E27)/E27)</f>
        <v>#DIV/0!</v>
      </c>
      <c r="G28" s="103" t="e">
        <f t="shared" ref="G28" si="67">((G27-F27)/F27)</f>
        <v>#DIV/0!</v>
      </c>
      <c r="H28" s="103" t="e">
        <f t="shared" ref="H28" si="68">((H27-G27)/G27)</f>
        <v>#DIV/0!</v>
      </c>
      <c r="I28" s="103" t="e">
        <f t="shared" ref="I28" si="69">((I27-H27)/H27)</f>
        <v>#DIV/0!</v>
      </c>
      <c r="J28" s="103" t="e">
        <f t="shared" ref="J28" si="70">((J27-I27)/I27)</f>
        <v>#DIV/0!</v>
      </c>
      <c r="K28" s="103" t="e">
        <f t="shared" ref="K28" si="71">((K27-J27)/J27)</f>
        <v>#DIV/0!</v>
      </c>
      <c r="L28" s="103" t="e">
        <f t="shared" ref="L28" si="72">((L27-K27)/K27)</f>
        <v>#DIV/0!</v>
      </c>
      <c r="M28" s="103" t="e">
        <f t="shared" ref="M28" si="73">((M27-L27)/L27)</f>
        <v>#DIV/0!</v>
      </c>
      <c r="N28" s="103" t="e">
        <f t="shared" ref="N28" si="74">((N27-M27)/M27)</f>
        <v>#DIV/0!</v>
      </c>
      <c r="O28" s="103" t="e">
        <f t="shared" ref="O28" si="75">((O27-N27)/N27)</f>
        <v>#DIV/0!</v>
      </c>
      <c r="P28" s="103" t="e">
        <f t="shared" ref="P28" si="76">((P27-O27)/O27)</f>
        <v>#DIV/0!</v>
      </c>
      <c r="Q28" s="103" t="e">
        <f t="shared" ref="Q28" si="77">((Q27-P27)/P27)</f>
        <v>#DIV/0!</v>
      </c>
      <c r="R28" s="103" t="e">
        <f t="shared" ref="R28" si="78">((R27-Q27)/Q27)</f>
        <v>#DIV/0!</v>
      </c>
      <c r="S28" s="103" t="e">
        <f t="shared" ref="S28" si="79">((S27-R27)/R27)</f>
        <v>#DIV/0!</v>
      </c>
    </row>
    <row r="29" spans="3:19" x14ac:dyDescent="0.25">
      <c r="C29" s="11"/>
      <c r="D29" s="66"/>
      <c r="E29" s="66"/>
      <c r="F29" s="66"/>
      <c r="G29" s="66"/>
      <c r="H29" s="66"/>
      <c r="I29" s="66"/>
      <c r="J29" s="66"/>
      <c r="K29" s="66"/>
      <c r="L29" s="66"/>
      <c r="M29" s="66"/>
      <c r="N29" s="66"/>
      <c r="O29" s="66"/>
      <c r="P29" s="66"/>
      <c r="Q29" s="66"/>
      <c r="R29" s="66"/>
      <c r="S29" s="66"/>
    </row>
    <row r="30" spans="3:19" x14ac:dyDescent="0.25">
      <c r="C30" t="s">
        <v>127</v>
      </c>
      <c r="D30" s="66"/>
      <c r="E30" s="258">
        <f>Revenue_Build!D24</f>
        <v>0</v>
      </c>
      <c r="F30" s="258">
        <f>Revenue_Build!E24</f>
        <v>0</v>
      </c>
      <c r="G30" s="258">
        <f>Revenue_Build!F24</f>
        <v>0</v>
      </c>
      <c r="H30" s="258">
        <f>Revenue_Build!G24</f>
        <v>0</v>
      </c>
      <c r="I30" s="258">
        <f>Revenue_Build!H24</f>
        <v>0</v>
      </c>
      <c r="J30" s="258">
        <f>Revenue_Build!I24</f>
        <v>0</v>
      </c>
      <c r="K30" s="258">
        <f>Revenue_Build!J24</f>
        <v>0</v>
      </c>
      <c r="L30" s="258">
        <f>Revenue_Build!K24</f>
        <v>0</v>
      </c>
      <c r="M30" s="258">
        <f>Revenue_Build!L24</f>
        <v>0</v>
      </c>
      <c r="N30" s="258">
        <f>Revenue_Build!M24</f>
        <v>0</v>
      </c>
      <c r="O30" s="258">
        <f>Revenue_Build!N24</f>
        <v>0</v>
      </c>
      <c r="P30" s="258">
        <f>Revenue_Build!O24</f>
        <v>0</v>
      </c>
      <c r="Q30" s="258">
        <f>Revenue_Build!P24</f>
        <v>0</v>
      </c>
      <c r="R30" s="258">
        <f>Revenue_Build!Q24</f>
        <v>0</v>
      </c>
      <c r="S30" s="258">
        <f>Revenue_Build!R24</f>
        <v>0</v>
      </c>
    </row>
    <row r="31" spans="3:19" x14ac:dyDescent="0.25">
      <c r="C31" s="11" t="s">
        <v>84</v>
      </c>
      <c r="D31" s="66"/>
      <c r="E31" s="103" t="s">
        <v>85</v>
      </c>
      <c r="F31" s="103" t="e">
        <f>((F30-E30)/E30)</f>
        <v>#DIV/0!</v>
      </c>
      <c r="G31" s="103" t="e">
        <f t="shared" ref="G31" si="80">((G30-F30)/F30)</f>
        <v>#DIV/0!</v>
      </c>
      <c r="H31" s="103" t="e">
        <f t="shared" ref="H31" si="81">((H30-G30)/G30)</f>
        <v>#DIV/0!</v>
      </c>
      <c r="I31" s="103" t="e">
        <f t="shared" ref="I31" si="82">((I30-H30)/H30)</f>
        <v>#DIV/0!</v>
      </c>
      <c r="J31" s="103" t="e">
        <f t="shared" ref="J31" si="83">((J30-I30)/I30)</f>
        <v>#DIV/0!</v>
      </c>
      <c r="K31" s="103" t="e">
        <f t="shared" ref="K31" si="84">((K30-J30)/J30)</f>
        <v>#DIV/0!</v>
      </c>
      <c r="L31" s="103" t="e">
        <f t="shared" ref="L31" si="85">((L30-K30)/K30)</f>
        <v>#DIV/0!</v>
      </c>
      <c r="M31" s="103" t="e">
        <f t="shared" ref="M31" si="86">((M30-L30)/L30)</f>
        <v>#DIV/0!</v>
      </c>
      <c r="N31" s="103" t="e">
        <f t="shared" ref="N31" si="87">((N30-M30)/M30)</f>
        <v>#DIV/0!</v>
      </c>
      <c r="O31" s="103" t="e">
        <f t="shared" ref="O31" si="88">((O30-N30)/N30)</f>
        <v>#DIV/0!</v>
      </c>
      <c r="P31" s="103" t="e">
        <f t="shared" ref="P31" si="89">((P30-O30)/O30)</f>
        <v>#DIV/0!</v>
      </c>
      <c r="Q31" s="103" t="e">
        <f t="shared" ref="Q31" si="90">((Q30-P30)/P30)</f>
        <v>#DIV/0!</v>
      </c>
      <c r="R31" s="103" t="e">
        <f t="shared" ref="R31" si="91">((R30-Q30)/Q30)</f>
        <v>#DIV/0!</v>
      </c>
      <c r="S31" s="103" t="e">
        <f t="shared" ref="S31" si="92">((S30-R30)/R30)</f>
        <v>#DIV/0!</v>
      </c>
    </row>
    <row r="32" spans="3:19" x14ac:dyDescent="0.25">
      <c r="C32" s="11"/>
      <c r="D32" s="66"/>
      <c r="E32" s="66"/>
      <c r="F32" s="66"/>
      <c r="G32" s="66"/>
      <c r="H32" s="66"/>
      <c r="I32" s="66"/>
      <c r="J32" s="66"/>
      <c r="K32" s="66"/>
      <c r="L32" s="66"/>
      <c r="M32" s="66"/>
      <c r="N32" s="66"/>
      <c r="O32" s="66"/>
      <c r="P32" s="66"/>
      <c r="Q32" s="66"/>
      <c r="R32" s="66"/>
      <c r="S32" s="66"/>
    </row>
    <row r="33" spans="2:19" x14ac:dyDescent="0.25">
      <c r="C33" t="s">
        <v>128</v>
      </c>
      <c r="D33" s="66"/>
      <c r="E33" s="258">
        <f>Revenue_Build!D27</f>
        <v>0</v>
      </c>
      <c r="F33" s="258">
        <f>Revenue_Build!E27</f>
        <v>0</v>
      </c>
      <c r="G33" s="258">
        <f>Revenue_Build!F27</f>
        <v>0</v>
      </c>
      <c r="H33" s="258">
        <f>Revenue_Build!G27</f>
        <v>0</v>
      </c>
      <c r="I33" s="258">
        <f>Revenue_Build!H27</f>
        <v>0</v>
      </c>
      <c r="J33" s="258">
        <f>Revenue_Build!I27</f>
        <v>0</v>
      </c>
      <c r="K33" s="258">
        <f>Revenue_Build!J27</f>
        <v>0</v>
      </c>
      <c r="L33" s="258">
        <f>Revenue_Build!K27</f>
        <v>0</v>
      </c>
      <c r="M33" s="258">
        <f>Revenue_Build!L27</f>
        <v>0</v>
      </c>
      <c r="N33" s="258">
        <f>Revenue_Build!M27</f>
        <v>0</v>
      </c>
      <c r="O33" s="258">
        <f>Revenue_Build!N27</f>
        <v>0</v>
      </c>
      <c r="P33" s="258">
        <f>Revenue_Build!O27</f>
        <v>0</v>
      </c>
      <c r="Q33" s="258">
        <f>Revenue_Build!P27</f>
        <v>0</v>
      </c>
      <c r="R33" s="258">
        <f>Revenue_Build!Q27</f>
        <v>0</v>
      </c>
      <c r="S33" s="258">
        <f>Revenue_Build!R27</f>
        <v>0</v>
      </c>
    </row>
    <row r="34" spans="2:19" x14ac:dyDescent="0.25">
      <c r="C34" s="11" t="s">
        <v>84</v>
      </c>
      <c r="D34" s="66"/>
      <c r="E34" s="103" t="s">
        <v>85</v>
      </c>
      <c r="F34" s="103" t="e">
        <f>((F33-E33)/E33)</f>
        <v>#DIV/0!</v>
      </c>
      <c r="G34" s="103" t="e">
        <f t="shared" ref="G34" si="93">((G33-F33)/F33)</f>
        <v>#DIV/0!</v>
      </c>
      <c r="H34" s="103" t="e">
        <f t="shared" ref="H34" si="94">((H33-G33)/G33)</f>
        <v>#DIV/0!</v>
      </c>
      <c r="I34" s="103" t="e">
        <f t="shared" ref="I34" si="95">((I33-H33)/H33)</f>
        <v>#DIV/0!</v>
      </c>
      <c r="J34" s="103" t="e">
        <f t="shared" ref="J34" si="96">((J33-I33)/I33)</f>
        <v>#DIV/0!</v>
      </c>
      <c r="K34" s="103" t="e">
        <f t="shared" ref="K34" si="97">((K33-J33)/J33)</f>
        <v>#DIV/0!</v>
      </c>
      <c r="L34" s="103" t="e">
        <f t="shared" ref="L34" si="98">((L33-K33)/K33)</f>
        <v>#DIV/0!</v>
      </c>
      <c r="M34" s="103" t="e">
        <f t="shared" ref="M34" si="99">((M33-L33)/L33)</f>
        <v>#DIV/0!</v>
      </c>
      <c r="N34" s="103" t="e">
        <f t="shared" ref="N34" si="100">((N33-M33)/M33)</f>
        <v>#DIV/0!</v>
      </c>
      <c r="O34" s="103" t="e">
        <f t="shared" ref="O34" si="101">((O33-N33)/N33)</f>
        <v>#DIV/0!</v>
      </c>
      <c r="P34" s="103" t="e">
        <f t="shared" ref="P34" si="102">((P33-O33)/O33)</f>
        <v>#DIV/0!</v>
      </c>
      <c r="Q34" s="103" t="e">
        <f t="shared" ref="Q34" si="103">((Q33-P33)/P33)</f>
        <v>#DIV/0!</v>
      </c>
      <c r="R34" s="103" t="e">
        <f t="shared" ref="R34" si="104">((R33-Q33)/Q33)</f>
        <v>#DIV/0!</v>
      </c>
      <c r="S34" s="103" t="e">
        <f t="shared" ref="S34" si="105">((S33-R33)/R33)</f>
        <v>#DIV/0!</v>
      </c>
    </row>
    <row r="35" spans="2:19" x14ac:dyDescent="0.25">
      <c r="C35" s="11"/>
      <c r="D35" s="66"/>
      <c r="E35" s="66"/>
      <c r="F35" s="66"/>
      <c r="G35" s="66"/>
      <c r="H35" s="66"/>
      <c r="I35" s="66"/>
      <c r="J35" s="66"/>
      <c r="K35" s="66"/>
      <c r="L35" s="66"/>
      <c r="M35" s="66"/>
      <c r="N35" s="66"/>
      <c r="O35" s="66"/>
      <c r="P35" s="66"/>
      <c r="Q35" s="66"/>
      <c r="R35" s="66"/>
      <c r="S35" s="66"/>
    </row>
    <row r="36" spans="2:19" x14ac:dyDescent="0.25">
      <c r="C36" t="s">
        <v>129</v>
      </c>
      <c r="D36" s="66"/>
      <c r="E36" s="258">
        <f>Revenue_Build!D30</f>
        <v>0</v>
      </c>
      <c r="F36" s="258">
        <f>Revenue_Build!E30</f>
        <v>0</v>
      </c>
      <c r="G36" s="258">
        <f>Revenue_Build!F30</f>
        <v>0</v>
      </c>
      <c r="H36" s="258">
        <f>Revenue_Build!G30</f>
        <v>0</v>
      </c>
      <c r="I36" s="258">
        <f>Revenue_Build!H30</f>
        <v>0</v>
      </c>
      <c r="J36" s="258">
        <f>Revenue_Build!I30</f>
        <v>0</v>
      </c>
      <c r="K36" s="258">
        <f>Revenue_Build!J30</f>
        <v>0</v>
      </c>
      <c r="L36" s="258">
        <f>Revenue_Build!K30</f>
        <v>0</v>
      </c>
      <c r="M36" s="258">
        <f>Revenue_Build!L30</f>
        <v>0</v>
      </c>
      <c r="N36" s="258">
        <f>Revenue_Build!M30</f>
        <v>0</v>
      </c>
      <c r="O36" s="258">
        <f>Revenue_Build!N30</f>
        <v>0</v>
      </c>
      <c r="P36" s="258">
        <f>Revenue_Build!O30</f>
        <v>0</v>
      </c>
      <c r="Q36" s="258">
        <f>Revenue_Build!P30</f>
        <v>0</v>
      </c>
      <c r="R36" s="258">
        <f>Revenue_Build!Q30</f>
        <v>0</v>
      </c>
      <c r="S36" s="258">
        <f>Revenue_Build!R30</f>
        <v>0</v>
      </c>
    </row>
    <row r="37" spans="2:19" x14ac:dyDescent="0.25">
      <c r="C37" s="11" t="s">
        <v>84</v>
      </c>
      <c r="D37" s="66"/>
      <c r="E37" s="103" t="s">
        <v>85</v>
      </c>
      <c r="F37" s="103" t="e">
        <f>((F36-E36)/E36)</f>
        <v>#DIV/0!</v>
      </c>
      <c r="G37" s="103" t="e">
        <f t="shared" ref="G37" si="106">((G36-F36)/F36)</f>
        <v>#DIV/0!</v>
      </c>
      <c r="H37" s="103" t="e">
        <f t="shared" ref="H37" si="107">((H36-G36)/G36)</f>
        <v>#DIV/0!</v>
      </c>
      <c r="I37" s="103" t="e">
        <f t="shared" ref="I37" si="108">((I36-H36)/H36)</f>
        <v>#DIV/0!</v>
      </c>
      <c r="J37" s="103" t="e">
        <f t="shared" ref="J37" si="109">((J36-I36)/I36)</f>
        <v>#DIV/0!</v>
      </c>
      <c r="K37" s="103" t="e">
        <f t="shared" ref="K37" si="110">((K36-J36)/J36)</f>
        <v>#DIV/0!</v>
      </c>
      <c r="L37" s="103" t="e">
        <f t="shared" ref="L37" si="111">((L36-K36)/K36)</f>
        <v>#DIV/0!</v>
      </c>
      <c r="M37" s="103" t="e">
        <f t="shared" ref="M37" si="112">((M36-L36)/L36)</f>
        <v>#DIV/0!</v>
      </c>
      <c r="N37" s="103" t="e">
        <f t="shared" ref="N37" si="113">((N36-M36)/M36)</f>
        <v>#DIV/0!</v>
      </c>
      <c r="O37" s="103" t="e">
        <f t="shared" ref="O37" si="114">((O36-N36)/N36)</f>
        <v>#DIV/0!</v>
      </c>
      <c r="P37" s="103" t="e">
        <f t="shared" ref="P37" si="115">((P36-O36)/O36)</f>
        <v>#DIV/0!</v>
      </c>
      <c r="Q37" s="103" t="e">
        <f t="shared" ref="Q37" si="116">((Q36-P36)/P36)</f>
        <v>#DIV/0!</v>
      </c>
      <c r="R37" s="103" t="e">
        <f t="shared" ref="R37" si="117">((R36-Q36)/Q36)</f>
        <v>#DIV/0!</v>
      </c>
      <c r="S37" s="103" t="e">
        <f t="shared" ref="S37" si="118">((S36-R36)/R36)</f>
        <v>#DIV/0!</v>
      </c>
    </row>
    <row r="38" spans="2:19" x14ac:dyDescent="0.25">
      <c r="C38" s="11"/>
      <c r="D38" s="66"/>
      <c r="E38" s="66"/>
      <c r="F38" s="66"/>
      <c r="G38" s="66"/>
      <c r="H38" s="66"/>
      <c r="I38" s="66"/>
      <c r="J38" s="66"/>
      <c r="K38" s="66"/>
      <c r="L38" s="66"/>
      <c r="M38" s="66"/>
      <c r="N38" s="66"/>
      <c r="O38" s="66"/>
      <c r="P38" s="66"/>
      <c r="Q38" s="66"/>
      <c r="R38" s="66"/>
      <c r="S38" s="66"/>
    </row>
    <row r="39" spans="2:19" x14ac:dyDescent="0.25">
      <c r="C39" t="s">
        <v>130</v>
      </c>
      <c r="D39" s="66"/>
      <c r="E39" s="258">
        <f>Revenue_Build!D33</f>
        <v>0</v>
      </c>
      <c r="F39" s="258">
        <f>Revenue_Build!E33</f>
        <v>0</v>
      </c>
      <c r="G39" s="258">
        <f>Revenue_Build!F33</f>
        <v>0</v>
      </c>
      <c r="H39" s="258">
        <f>Revenue_Build!G33</f>
        <v>0</v>
      </c>
      <c r="I39" s="258">
        <f>Revenue_Build!H33</f>
        <v>0</v>
      </c>
      <c r="J39" s="258">
        <f>Revenue_Build!I33</f>
        <v>0</v>
      </c>
      <c r="K39" s="258">
        <f>Revenue_Build!J33</f>
        <v>0</v>
      </c>
      <c r="L39" s="258">
        <f>Revenue_Build!K33</f>
        <v>0</v>
      </c>
      <c r="M39" s="258">
        <f>Revenue_Build!L33</f>
        <v>0</v>
      </c>
      <c r="N39" s="258">
        <f>Revenue_Build!M33</f>
        <v>0</v>
      </c>
      <c r="O39" s="258">
        <f>Revenue_Build!N33</f>
        <v>0</v>
      </c>
      <c r="P39" s="258">
        <f>Revenue_Build!O33</f>
        <v>0</v>
      </c>
      <c r="Q39" s="258">
        <f>Revenue_Build!P33</f>
        <v>0</v>
      </c>
      <c r="R39" s="258">
        <f>Revenue_Build!Q33</f>
        <v>0</v>
      </c>
      <c r="S39" s="258">
        <f>Revenue_Build!R33</f>
        <v>0</v>
      </c>
    </row>
    <row r="40" spans="2:19" x14ac:dyDescent="0.25">
      <c r="C40" s="11" t="s">
        <v>84</v>
      </c>
      <c r="D40" s="66"/>
      <c r="E40" s="103" t="s">
        <v>85</v>
      </c>
      <c r="F40" s="103" t="e">
        <f>((F39-E39)/E39)</f>
        <v>#DIV/0!</v>
      </c>
      <c r="G40" s="103" t="e">
        <f t="shared" ref="G40" si="119">((G39-F39)/F39)</f>
        <v>#DIV/0!</v>
      </c>
      <c r="H40" s="103" t="e">
        <f t="shared" ref="H40" si="120">((H39-G39)/G39)</f>
        <v>#DIV/0!</v>
      </c>
      <c r="I40" s="103" t="e">
        <f t="shared" ref="I40" si="121">((I39-H39)/H39)</f>
        <v>#DIV/0!</v>
      </c>
      <c r="J40" s="103" t="e">
        <f t="shared" ref="J40" si="122">((J39-I39)/I39)</f>
        <v>#DIV/0!</v>
      </c>
      <c r="K40" s="103" t="e">
        <f t="shared" ref="K40" si="123">((K39-J39)/J39)</f>
        <v>#DIV/0!</v>
      </c>
      <c r="L40" s="103" t="e">
        <f t="shared" ref="L40" si="124">((L39-K39)/K39)</f>
        <v>#DIV/0!</v>
      </c>
      <c r="M40" s="103" t="e">
        <f t="shared" ref="M40" si="125">((M39-L39)/L39)</f>
        <v>#DIV/0!</v>
      </c>
      <c r="N40" s="103" t="e">
        <f t="shared" ref="N40" si="126">((N39-M39)/M39)</f>
        <v>#DIV/0!</v>
      </c>
      <c r="O40" s="103" t="e">
        <f t="shared" ref="O40" si="127">((O39-N39)/N39)</f>
        <v>#DIV/0!</v>
      </c>
      <c r="P40" s="103" t="e">
        <f t="shared" ref="P40" si="128">((P39-O39)/O39)</f>
        <v>#DIV/0!</v>
      </c>
      <c r="Q40" s="103" t="e">
        <f t="shared" ref="Q40" si="129">((Q39-P39)/P39)</f>
        <v>#DIV/0!</v>
      </c>
      <c r="R40" s="103" t="e">
        <f t="shared" ref="R40" si="130">((R39-Q39)/Q39)</f>
        <v>#DIV/0!</v>
      </c>
      <c r="S40" s="103" t="e">
        <f t="shared" ref="S40" si="131">((S39-R39)/R39)</f>
        <v>#DIV/0!</v>
      </c>
    </row>
    <row r="41" spans="2:19" x14ac:dyDescent="0.25">
      <c r="C41" s="11"/>
      <c r="D41" s="66"/>
      <c r="E41" s="66"/>
      <c r="F41" s="66"/>
      <c r="G41" s="66"/>
      <c r="H41" s="66"/>
      <c r="I41" s="66"/>
      <c r="J41" s="66"/>
      <c r="K41" s="66"/>
      <c r="L41" s="66"/>
      <c r="M41" s="66"/>
      <c r="N41" s="66"/>
      <c r="O41" s="66"/>
      <c r="P41" s="66"/>
      <c r="Q41" s="66"/>
      <c r="R41" s="66"/>
      <c r="S41" s="66"/>
    </row>
    <row r="42" spans="2:19" x14ac:dyDescent="0.25">
      <c r="C42" s="101" t="s">
        <v>120</v>
      </c>
      <c r="D42" s="102"/>
      <c r="E42" s="259" cm="1">
        <f t="array" ref="E42">SUM(IF(MOD(ROW(E12:E40)-ROW(E12),3)=0, IFERROR(E12:E40, 0)))</f>
        <v>2528</v>
      </c>
      <c r="F42" s="259" cm="1">
        <f t="array" ref="F42">SUM(IF(MOD(ROW(F12:F40)-ROW(F12),3)=0, IFERROR(F12:F40, 0)))</f>
        <v>3628</v>
      </c>
      <c r="G42" s="259" cm="1">
        <f t="array" ref="G42">SUM(IF(MOD(ROW(G12:G40)-ROW(G12),3)=0, IFERROR(G12:G40, 0)))</f>
        <v>9570</v>
      </c>
      <c r="H42" s="259" cm="1">
        <f t="array" ref="H42">SUM(IF(MOD(ROW(H12:H40)-ROW(H12),3)=0, IFERROR(H12:H40, 0)))</f>
        <v>10821</v>
      </c>
      <c r="I42" s="259" cm="1">
        <f t="array" ref="I42">SUM(IF(MOD(ROW(I12:I40)-ROW(I12),3)=0, IFERROR(I12:I40, 0)))</f>
        <v>11528</v>
      </c>
      <c r="J42" s="259" cm="1">
        <f t="array" ref="J42">SUM(IF(MOD(ROW(J12:J40)-ROW(J12),3)=0, IFERROR(J12:J40, 0)))</f>
        <v>15902.995400604828</v>
      </c>
      <c r="K42" s="259" cm="1">
        <f t="array" ref="K42">SUM(IF(MOD(ROW(K12:K40)-ROW(K12),3)=0, IFERROR(K12:K40, 0)))</f>
        <v>22095.14461812477</v>
      </c>
      <c r="L42" s="259" cm="1">
        <f t="array" ref="L42">SUM(IF(MOD(ROW(L12:L40)-ROW(L12),3)=0, IFERROR(L12:L40, 0)))</f>
        <v>30929.375644418011</v>
      </c>
      <c r="M42" s="259" cm="1">
        <f t="array" ref="M42">SUM(IF(MOD(ROW(M12:M40)-ROW(M12),3)=0, IFERROR(M12:M40, 0)))</f>
        <v>43635.406367496049</v>
      </c>
      <c r="N42" s="259" cm="1">
        <f t="array" ref="N42">SUM(IF(MOD(ROW(N12:N40)-ROW(N12),3)=0, IFERROR(N12:N40, 0)))</f>
        <v>62059.101504694299</v>
      </c>
      <c r="O42" s="259" cm="1">
        <f t="array" ref="O42">SUM(IF(MOD(ROW(O12:O40)-ROW(O12),3)=0, IFERROR(O12:O40, 0)))</f>
        <v>88989.474612517981</v>
      </c>
      <c r="P42" s="259" cm="1">
        <f t="array" ref="P42">SUM(IF(MOD(ROW(P12:P40)-ROW(P12),3)=0, IFERROR(P12:P40, 0)))</f>
        <v>128666.82045432176</v>
      </c>
      <c r="Q42" s="259" cm="1">
        <f t="array" ref="Q42">SUM(IF(MOD(ROW(Q12:Q40)-ROW(Q12),3)=0, IFERROR(Q12:Q40, 0)))</f>
        <v>187575.48423949748</v>
      </c>
      <c r="R42" s="259" cm="1">
        <f t="array" ref="R42">SUM(IF(MOD(ROW(R12:R40)-ROW(R12),3)=0, IFERROR(R12:R40, 0)))</f>
        <v>275685.27897789812</v>
      </c>
      <c r="S42" s="259" cm="1">
        <f t="array" ref="S42">SUM(IF(MOD(ROW(S12:S40)-ROW(S12),3)=0, IFERROR(S12:S40, 0)))</f>
        <v>408402.02663502889</v>
      </c>
    </row>
    <row r="43" spans="2:19" x14ac:dyDescent="0.25">
      <c r="C43" s="11" t="s">
        <v>84</v>
      </c>
      <c r="D43" s="66"/>
      <c r="E43" s="103" t="s">
        <v>85</v>
      </c>
      <c r="F43" s="103">
        <f>((F42-E42)/E42)</f>
        <v>0.435126582278481</v>
      </c>
      <c r="G43" s="103">
        <f t="shared" ref="G43" si="132">((G42-F42)/F42)</f>
        <v>1.6378169790518191</v>
      </c>
      <c r="H43" s="103">
        <f t="shared" ref="H43" si="133">((H42-G42)/G42)</f>
        <v>0.13072100313479623</v>
      </c>
      <c r="I43" s="103">
        <f t="shared" ref="I43" si="134">((I42-H42)/H42)</f>
        <v>6.5335920894556879E-2</v>
      </c>
      <c r="J43" s="103">
        <f t="shared" ref="J43" si="135">((J42-I42)/I42)</f>
        <v>0.37951035744316691</v>
      </c>
      <c r="K43" s="103">
        <f t="shared" ref="K43" si="136">((K42-J42)/J42)</f>
        <v>0.3893699936104138</v>
      </c>
      <c r="L43" s="103">
        <f t="shared" ref="L43" si="137">((L42-K42)/K42)</f>
        <v>0.39982680262913833</v>
      </c>
      <c r="M43" s="103">
        <f t="shared" ref="M43" si="138">((M42-L42)/L42)</f>
        <v>0.41080786334499331</v>
      </c>
      <c r="N43" s="103">
        <f t="shared" ref="N43" si="139">((N42-M42)/M42)</f>
        <v>0.42221894261816784</v>
      </c>
      <c r="O43" s="103">
        <f t="shared" ref="O43" si="140">((O42-N42)/N42)</f>
        <v>0.43394719637999596</v>
      </c>
      <c r="P43" s="103">
        <f t="shared" ref="P43" si="141">((P42-O42)/O42)</f>
        <v>0.44586560393314695</v>
      </c>
      <c r="Q43" s="103">
        <f t="shared" ref="Q43" si="142">((Q42-P42)/P42)</f>
        <v>0.45783880861569126</v>
      </c>
      <c r="R43" s="103">
        <f t="shared" ref="R43" si="143">((R42-Q42)/Q42)</f>
        <v>0.46972980022219502</v>
      </c>
      <c r="S43" s="103">
        <f t="shared" ref="S43" si="144">((S42-R42)/R42)</f>
        <v>0.48140672635542048</v>
      </c>
    </row>
    <row r="44" spans="2:19" x14ac:dyDescent="0.25">
      <c r="C44" s="11"/>
      <c r="D44" s="66"/>
      <c r="E44" s="103"/>
      <c r="F44" s="103"/>
      <c r="G44" s="103"/>
      <c r="H44" s="103"/>
      <c r="I44" s="103"/>
      <c r="J44" s="103"/>
      <c r="K44" s="103"/>
      <c r="L44" s="103"/>
      <c r="M44" s="103"/>
      <c r="N44" s="103"/>
      <c r="O44" s="103"/>
      <c r="P44" s="103"/>
      <c r="Q44" s="103"/>
      <c r="R44" s="103"/>
      <c r="S44" s="103"/>
    </row>
    <row r="45" spans="2:19" x14ac:dyDescent="0.25">
      <c r="D45" s="66"/>
      <c r="E45" s="66"/>
      <c r="F45" s="66"/>
      <c r="G45" s="66"/>
      <c r="H45" s="66"/>
      <c r="I45" s="66"/>
      <c r="J45" s="66"/>
      <c r="K45" s="66"/>
      <c r="L45" s="66"/>
      <c r="M45" s="66"/>
      <c r="N45" s="66"/>
      <c r="O45" s="66"/>
      <c r="P45" s="66"/>
      <c r="Q45" s="66"/>
      <c r="R45" s="66"/>
      <c r="S45" s="66"/>
    </row>
    <row r="46" spans="2:19" x14ac:dyDescent="0.25">
      <c r="C46" s="10" t="s">
        <v>415</v>
      </c>
      <c r="D46" s="66"/>
      <c r="E46" s="66"/>
      <c r="F46" s="66"/>
      <c r="G46" s="66"/>
      <c r="H46" s="66"/>
      <c r="I46" s="66"/>
      <c r="J46" s="66"/>
      <c r="K46" s="66"/>
      <c r="L46" s="66"/>
      <c r="M46" s="66"/>
      <c r="N46" s="66"/>
      <c r="O46" s="66"/>
      <c r="P46" s="66"/>
      <c r="Q46" s="66"/>
      <c r="R46" s="66"/>
      <c r="S46" s="66"/>
    </row>
    <row r="47" spans="2:19" x14ac:dyDescent="0.25">
      <c r="D47" s="66"/>
      <c r="E47" s="66"/>
      <c r="F47" s="66"/>
      <c r="G47" s="66"/>
      <c r="H47" s="66"/>
      <c r="I47" s="66"/>
      <c r="J47" s="66"/>
      <c r="K47" s="66"/>
      <c r="L47" s="66"/>
      <c r="M47" s="66"/>
      <c r="N47" s="66"/>
      <c r="O47" s="66"/>
      <c r="P47" s="66"/>
      <c r="Q47" s="66"/>
      <c r="R47" s="66"/>
      <c r="S47" s="66"/>
    </row>
    <row r="48" spans="2:19" ht="15" customHeight="1" x14ac:dyDescent="0.25">
      <c r="B48" t="s">
        <v>409</v>
      </c>
      <c r="C48" t="s">
        <v>408</v>
      </c>
      <c r="D48" s="66"/>
      <c r="E48" s="281" cm="1">
        <f t="array" ref="E48">IF(_xll.BDP(Hub!$D$4,$B48,"EQY_FUND_RELATIVE_PERIOD",E$9, "EQY_FUND_CRNCY", Hub!$D$8, "FA_ADJUSTED", "ADJ")="#N/A N/A", 0, _xll.BDP(Hub!$D$4,$B48,"EQY_FUND_RELATIVE_PERIOD",E$9, "EQY_FUND_CRNCY", Hub!$D$8, "FA_ADJUSTED", "ADJ"))</f>
        <v>0</v>
      </c>
      <c r="F48" s="281" cm="1">
        <f t="array" ref="F48">IF(_xll.BDP(Hub!$D$4,$B48,"EQY_FUND_RELATIVE_PERIOD",F$9, "EQY_FUND_CRNCY", Hub!$D$8, "FA_ADJUSTED", "ADJ")="#N/A N/A", 0, _xll.BDP(Hub!$D$4,$B48,"EQY_FUND_RELATIVE_PERIOD",F$9, "EQY_FUND_CRNCY", Hub!$D$8, "FA_ADJUSTED", "ADJ"))</f>
        <v>0</v>
      </c>
      <c r="G48" s="281" cm="1">
        <f t="array" ref="G48">IF(_xll.BDP(Hub!$D$4,$B48,"EQY_FUND_RELATIVE_PERIOD",G$9, "EQY_FUND_CRNCY", Hub!$D$8, "FA_ADJUSTED", "ADJ")="#N/A N/A", 0, _xll.BDP(Hub!$D$4,$B48,"EQY_FUND_RELATIVE_PERIOD",G$9, "EQY_FUND_CRNCY", Hub!$D$8, "FA_ADJUSTED", "ADJ"))</f>
        <v>0</v>
      </c>
      <c r="H48" s="281" cm="1">
        <f t="array" ref="H48">IF(_xll.BDP(Hub!$D$4,$B48,"EQY_FUND_RELATIVE_PERIOD",H$9, "EQY_FUND_CRNCY", Hub!$D$8, "FA_ADJUSTED", "ADJ")="#N/A N/A", 0, _xll.BDP(Hub!$D$4,$B48,"EQY_FUND_RELATIVE_PERIOD",H$9, "EQY_FUND_CRNCY", Hub!$D$8, "FA_ADJUSTED", "ADJ"))</f>
        <v>0</v>
      </c>
      <c r="I48" s="281" cm="1">
        <f t="array" ref="I48">IF(_xll.BDP(Hub!$D$4,$B48,"EQY_FUND_RELATIVE_PERIOD",I$9, "EQY_FUND_CRNCY", Hub!$D$8, "FA_ADJUSTED", "ADJ")="#N/A N/A", 0, _xll.BDP(Hub!$D$4,$B48,"EQY_FUND_RELATIVE_PERIOD",I$9, "EQY_FUND_CRNCY", Hub!$D$8, "FA_ADJUSTED", "ADJ"))</f>
        <v>0</v>
      </c>
      <c r="J48" s="258">
        <f ca="1">IFERROR(J$42*Historicals!I29,0)</f>
        <v>0</v>
      </c>
      <c r="K48" s="258">
        <f ca="1">IFERROR(K$42*Historicals!J29,0)</f>
        <v>0</v>
      </c>
      <c r="L48" s="258">
        <f ca="1">IFERROR(L$42*Historicals!K29,0)</f>
        <v>0</v>
      </c>
      <c r="M48" s="258">
        <f ca="1">IFERROR(M$42*Historicals!L29,0)</f>
        <v>0</v>
      </c>
      <c r="N48" s="258">
        <f ca="1">IFERROR(N$42*Historicals!M29,0)</f>
        <v>0</v>
      </c>
      <c r="O48" s="258">
        <f ca="1">IFERROR(O$42*Historicals!N29,0)</f>
        <v>0</v>
      </c>
      <c r="P48" s="258">
        <f ca="1">IFERROR(P$42*Historicals!O29,0)</f>
        <v>0</v>
      </c>
      <c r="Q48" s="258">
        <f ca="1">IFERROR(Q$42*Historicals!P29,0)</f>
        <v>0</v>
      </c>
      <c r="R48" s="258">
        <f ca="1">IFERROR(R$42*Historicals!Q29,0)</f>
        <v>0</v>
      </c>
      <c r="S48" s="258">
        <f ca="1">IFERROR(S$42*Historicals!R29,0)</f>
        <v>0</v>
      </c>
    </row>
    <row r="49" spans="2:19" x14ac:dyDescent="0.25">
      <c r="B49" s="266"/>
      <c r="C49" s="11" t="s">
        <v>84</v>
      </c>
      <c r="D49" s="66"/>
      <c r="E49" s="103" t="s">
        <v>85</v>
      </c>
      <c r="F49" s="103" t="e">
        <f>((F48-E48)/E48)</f>
        <v>#DIV/0!</v>
      </c>
      <c r="G49" s="103" t="e">
        <f t="shared" ref="G49" si="145">((G48-F48)/F48)</f>
        <v>#DIV/0!</v>
      </c>
      <c r="H49" s="103" t="e">
        <f t="shared" ref="H49" si="146">((H48-G48)/G48)</f>
        <v>#DIV/0!</v>
      </c>
      <c r="I49" s="103" t="e">
        <f t="shared" ref="I49" si="147">((I48-H48)/H48)</f>
        <v>#DIV/0!</v>
      </c>
      <c r="J49" s="103" t="e">
        <f t="shared" ref="J49" ca="1" si="148">((J48-I48)/I48)</f>
        <v>#DIV/0!</v>
      </c>
      <c r="K49" s="103" t="e">
        <f t="shared" ref="K49" ca="1" si="149">((K48-J48)/J48)</f>
        <v>#DIV/0!</v>
      </c>
      <c r="L49" s="103" t="e">
        <f t="shared" ref="L49" ca="1" si="150">((L48-K48)/K48)</f>
        <v>#DIV/0!</v>
      </c>
      <c r="M49" s="103" t="e">
        <f t="shared" ref="M49" ca="1" si="151">((M48-L48)/L48)</f>
        <v>#DIV/0!</v>
      </c>
      <c r="N49" s="103" t="e">
        <f ca="1">((N48-M48)/M48)</f>
        <v>#DIV/0!</v>
      </c>
      <c r="O49" s="103" t="e">
        <f t="shared" ref="O49:S49" ca="1" si="152">((O48-N48)/N48)</f>
        <v>#DIV/0!</v>
      </c>
      <c r="P49" s="103" t="e">
        <f t="shared" ca="1" si="152"/>
        <v>#DIV/0!</v>
      </c>
      <c r="Q49" s="103" t="e">
        <f t="shared" ca="1" si="152"/>
        <v>#DIV/0!</v>
      </c>
      <c r="R49" s="103" t="e">
        <f t="shared" ca="1" si="152"/>
        <v>#DIV/0!</v>
      </c>
      <c r="S49" s="103" t="e">
        <f t="shared" ca="1" si="152"/>
        <v>#DIV/0!</v>
      </c>
    </row>
    <row r="50" spans="2:19" x14ac:dyDescent="0.25">
      <c r="B50" s="266"/>
      <c r="C50" s="11"/>
      <c r="D50" s="66"/>
      <c r="E50" s="103"/>
      <c r="F50" s="103"/>
      <c r="G50" s="103"/>
      <c r="H50" s="103"/>
      <c r="I50" s="103"/>
      <c r="J50" s="103"/>
      <c r="K50" s="103"/>
      <c r="L50" s="103"/>
      <c r="M50" s="103"/>
      <c r="N50" s="103"/>
      <c r="O50" s="103"/>
      <c r="P50" s="103"/>
      <c r="Q50" s="103"/>
      <c r="R50" s="103"/>
      <c r="S50" s="103"/>
    </row>
    <row r="51" spans="2:19" ht="15" customHeight="1" x14ac:dyDescent="0.25">
      <c r="B51" t="s">
        <v>410</v>
      </c>
      <c r="C51" t="s">
        <v>449</v>
      </c>
      <c r="D51" s="66"/>
      <c r="E51" s="281" cm="1">
        <f t="array" ref="E51">IF(_xll.BDP(Hub!$D$4,$B51,"EQY_FUND_RELATIVE_PERIOD",E$9, "EQY_FUND_CRNCY", Hub!$D$8, "FA_ADJUSTED", "ADJ")="#N/A N/A", 0, _xll.BDP(Hub!$D$4,$B51,"EQY_FUND_RELATIVE_PERIOD",E$9, "EQY_FUND_CRNCY", Hub!$D$8, "FA_ADJUSTED", "ADJ"))</f>
        <v>0</v>
      </c>
      <c r="F51" s="281" cm="1">
        <f t="array" ref="F51">IF(_xll.BDP(Hub!$D$4,$B51,"EQY_FUND_RELATIVE_PERIOD",F$9, "EQY_FUND_CRNCY", Hub!$D$8, "FA_ADJUSTED", "ADJ")="#N/A N/A", 0, _xll.BDP(Hub!$D$4,$B51,"EQY_FUND_RELATIVE_PERIOD",F$9, "EQY_FUND_CRNCY", Hub!$D$8, "FA_ADJUSTED", "ADJ"))</f>
        <v>0</v>
      </c>
      <c r="G51" s="281" cm="1">
        <f t="array" ref="G51">IF(_xll.BDP(Hub!$D$4,$B51,"EQY_FUND_RELATIVE_PERIOD",G$9, "EQY_FUND_CRNCY", Hub!$D$8, "FA_ADJUSTED", "ADJ")="#N/A N/A", 0, _xll.BDP(Hub!$D$4,$B51,"EQY_FUND_RELATIVE_PERIOD",G$9, "EQY_FUND_CRNCY", Hub!$D$8, "FA_ADJUSTED", "ADJ"))</f>
        <v>0</v>
      </c>
      <c r="H51" s="281" cm="1">
        <f t="array" ref="H51">IF(_xll.BDP(Hub!$D$4,$B51,"EQY_FUND_RELATIVE_PERIOD",H$9, "EQY_FUND_CRNCY", Hub!$D$8, "FA_ADJUSTED", "ADJ")="#N/A N/A", 0, _xll.BDP(Hub!$D$4,$B51,"EQY_FUND_RELATIVE_PERIOD",H$9, "EQY_FUND_CRNCY", Hub!$D$8, "FA_ADJUSTED", "ADJ"))</f>
        <v>0</v>
      </c>
      <c r="I51" s="281" cm="1">
        <f t="array" ref="I51">IF(_xll.BDP(Hub!$D$4,$B51,"EQY_FUND_RELATIVE_PERIOD",I$9, "EQY_FUND_CRNCY", Hub!$D$8, "FA_ADJUSTED", "ADJ")="#N/A N/A", 0, _xll.BDP(Hub!$D$4,$B51,"EQY_FUND_RELATIVE_PERIOD",I$9, "EQY_FUND_CRNCY", Hub!$D$8, "FA_ADJUSTED", "ADJ"))</f>
        <v>0</v>
      </c>
      <c r="J51" s="258">
        <f ca="1">IFERROR(J$42*Historicals!I30,0)</f>
        <v>0</v>
      </c>
      <c r="K51" s="258">
        <f ca="1">IFERROR(K$42*Historicals!J30,0)</f>
        <v>0</v>
      </c>
      <c r="L51" s="258">
        <f ca="1">IFERROR(L$42*Historicals!K30,0)</f>
        <v>0</v>
      </c>
      <c r="M51" s="258">
        <f ca="1">IFERROR(M$42*Historicals!L30,0)</f>
        <v>0</v>
      </c>
      <c r="N51" s="258">
        <f ca="1">IFERROR(N$42*Historicals!M30,0)</f>
        <v>0</v>
      </c>
      <c r="O51" s="258">
        <f ca="1">IFERROR(O$42*Historicals!N30,0)</f>
        <v>0</v>
      </c>
      <c r="P51" s="258">
        <f ca="1">IFERROR(P$42*Historicals!O30,0)</f>
        <v>0</v>
      </c>
      <c r="Q51" s="258">
        <f ca="1">IFERROR(Q$42*Historicals!P30,0)</f>
        <v>0</v>
      </c>
      <c r="R51" s="258">
        <f ca="1">IFERROR(R$42*Historicals!Q30,0)</f>
        <v>0</v>
      </c>
      <c r="S51" s="258">
        <f ca="1">IFERROR(S$42*Historicals!R30,0)</f>
        <v>0</v>
      </c>
    </row>
    <row r="52" spans="2:19" x14ac:dyDescent="0.25">
      <c r="B52" s="266"/>
      <c r="C52" s="11" t="s">
        <v>84</v>
      </c>
      <c r="D52" s="66"/>
      <c r="E52" s="103" t="s">
        <v>85</v>
      </c>
      <c r="F52" s="103" t="e">
        <f>((F51-E51)/E51)</f>
        <v>#DIV/0!</v>
      </c>
      <c r="G52" s="103" t="e">
        <f t="shared" ref="G52" si="153">((G51-F51)/F51)</f>
        <v>#DIV/0!</v>
      </c>
      <c r="H52" s="103" t="e">
        <f t="shared" ref="H52" si="154">((H51-G51)/G51)</f>
        <v>#DIV/0!</v>
      </c>
      <c r="I52" s="103" t="e">
        <f t="shared" ref="I52" si="155">((I51-H51)/H51)</f>
        <v>#DIV/0!</v>
      </c>
      <c r="J52" s="103" t="e">
        <f t="shared" ref="J52" ca="1" si="156">((J51-I51)/I51)</f>
        <v>#DIV/0!</v>
      </c>
      <c r="K52" s="103" t="e">
        <f t="shared" ref="K52" ca="1" si="157">((K51-J51)/J51)</f>
        <v>#DIV/0!</v>
      </c>
      <c r="L52" s="103" t="e">
        <f t="shared" ref="L52" ca="1" si="158">((L51-K51)/K51)</f>
        <v>#DIV/0!</v>
      </c>
      <c r="M52" s="103" t="e">
        <f t="shared" ref="M52" ca="1" si="159">((M51-L51)/L51)</f>
        <v>#DIV/0!</v>
      </c>
      <c r="N52" s="103" t="e">
        <f ca="1">((N51-M51)/M51)</f>
        <v>#DIV/0!</v>
      </c>
      <c r="O52" s="103" t="e">
        <f t="shared" ref="O52" ca="1" si="160">((O51-N51)/N51)</f>
        <v>#DIV/0!</v>
      </c>
      <c r="P52" s="103" t="e">
        <f t="shared" ref="P52" ca="1" si="161">((P51-O51)/O51)</f>
        <v>#DIV/0!</v>
      </c>
      <c r="Q52" s="103" t="e">
        <f t="shared" ref="Q52" ca="1" si="162">((Q51-P51)/P51)</f>
        <v>#DIV/0!</v>
      </c>
      <c r="R52" s="103" t="e">
        <f t="shared" ref="R52" ca="1" si="163">((R51-Q51)/Q51)</f>
        <v>#DIV/0!</v>
      </c>
      <c r="S52" s="103" t="e">
        <f t="shared" ref="S52" ca="1" si="164">((S51-R51)/R51)</f>
        <v>#DIV/0!</v>
      </c>
    </row>
    <row r="53" spans="2:19" x14ac:dyDescent="0.25">
      <c r="B53" s="266"/>
      <c r="C53" s="11"/>
      <c r="D53" s="66"/>
      <c r="E53" s="103"/>
      <c r="F53" s="103"/>
      <c r="G53" s="103"/>
      <c r="H53" s="103"/>
      <c r="I53" s="103"/>
      <c r="J53" s="103"/>
      <c r="K53" s="103"/>
      <c r="L53" s="103"/>
      <c r="M53" s="103"/>
      <c r="N53" s="103"/>
      <c r="O53" s="103"/>
      <c r="P53" s="103"/>
      <c r="Q53" s="103"/>
      <c r="R53" s="103"/>
      <c r="S53" s="103"/>
    </row>
    <row r="54" spans="2:19" ht="15" customHeight="1" x14ac:dyDescent="0.25">
      <c r="B54" t="s">
        <v>411</v>
      </c>
      <c r="C54" t="s">
        <v>412</v>
      </c>
      <c r="D54" s="66"/>
      <c r="E54" s="281" cm="1">
        <f t="array" ref="E54">IFERROR(IF(-_xll.BDP(Hub!$D$4,$B54,"EQY_FUND_RELATIVE_PERIOD",E$9, "EQY_FUND_CRNCY", Hub!$D$8, "FA_ADJUSTED", "ADJ")="#N/A N/A", 0, -_xll.BDP(Hub!$D$4,$B54,"EQY_FUND_RELATIVE_PERIOD",E$9, "EQY_FUND_CRNCY", Hub!$D$8, "FA_ADJUSTED", "ADJ")),0)</f>
        <v>0</v>
      </c>
      <c r="F54" s="281" cm="1">
        <f t="array" ref="F54">IFERROR(IF(-_xll.BDP(Hub!$D$4,$B54,"EQY_FUND_RELATIVE_PERIOD",F$9, "EQY_FUND_CRNCY", Hub!$D$8, "FA_ADJUSTED", "ADJ")="#N/A N/A", 0, -_xll.BDP(Hub!$D$4,$B54,"EQY_FUND_RELATIVE_PERIOD",F$9, "EQY_FUND_CRNCY", Hub!$D$8, "FA_ADJUSTED", "ADJ")),0)</f>
        <v>0</v>
      </c>
      <c r="G54" s="281" cm="1">
        <f t="array" ref="G54">IFERROR(IF(-_xll.BDP(Hub!$D$4,$B54,"EQY_FUND_RELATIVE_PERIOD",G$9, "EQY_FUND_CRNCY", Hub!$D$8, "FA_ADJUSTED", "ADJ")="#N/A N/A", 0, -_xll.BDP(Hub!$D$4,$B54,"EQY_FUND_RELATIVE_PERIOD",G$9, "EQY_FUND_CRNCY", Hub!$D$8, "FA_ADJUSTED", "ADJ")),0)</f>
        <v>0</v>
      </c>
      <c r="H54" s="281" cm="1">
        <f t="array" ref="H54">IFERROR(IF(-_xll.BDP(Hub!$D$4,$B54,"EQY_FUND_RELATIVE_PERIOD",H$9, "EQY_FUND_CRNCY", Hub!$D$8, "FA_ADJUSTED", "ADJ")="#N/A N/A", 0, -_xll.BDP(Hub!$D$4,$B54,"EQY_FUND_RELATIVE_PERIOD",H$9, "EQY_FUND_CRNCY", Hub!$D$8, "FA_ADJUSTED", "ADJ")),0)</f>
        <v>0</v>
      </c>
      <c r="I54" s="281" cm="1">
        <f t="array" ref="I54">IFERROR(IF(-_xll.BDP(Hub!$D$4,$B54,"EQY_FUND_RELATIVE_PERIOD",I$9, "EQY_FUND_CRNCY", Hub!$D$8, "FA_ADJUSTED", "ADJ")="#N/A N/A", 0, -_xll.BDP(Hub!$D$4,$B54,"EQY_FUND_RELATIVE_PERIOD",I$9, "EQY_FUND_CRNCY", Hub!$D$8, "FA_ADJUSTED", "ADJ")),0)</f>
        <v>0</v>
      </c>
      <c r="J54" s="258">
        <f ca="1">IFERROR(J$42*Historicals!I31,0)</f>
        <v>0</v>
      </c>
      <c r="K54" s="258">
        <f ca="1">IFERROR(K$42*Historicals!J31,0)</f>
        <v>0</v>
      </c>
      <c r="L54" s="258">
        <f ca="1">IFERROR(L$42*Historicals!K31,0)</f>
        <v>0</v>
      </c>
      <c r="M54" s="258">
        <f ca="1">IFERROR(M$42*Historicals!L31,0)</f>
        <v>0</v>
      </c>
      <c r="N54" s="258">
        <f ca="1">IFERROR(N$42*Historicals!M31,0)</f>
        <v>0</v>
      </c>
      <c r="O54" s="258">
        <f ca="1">IFERROR(O$42*Historicals!N31,0)</f>
        <v>0</v>
      </c>
      <c r="P54" s="258">
        <f ca="1">IFERROR(P$42*Historicals!O31,0)</f>
        <v>0</v>
      </c>
      <c r="Q54" s="258">
        <f ca="1">IFERROR(Q$42*Historicals!P31,0)</f>
        <v>0</v>
      </c>
      <c r="R54" s="258">
        <f ca="1">IFERROR(R$42*Historicals!Q31,0)</f>
        <v>0</v>
      </c>
      <c r="S54" s="258">
        <f ca="1">IFERROR(S$42*Historicals!R31,0)</f>
        <v>0</v>
      </c>
    </row>
    <row r="55" spans="2:19" x14ac:dyDescent="0.25">
      <c r="B55" s="266"/>
      <c r="C55" s="11" t="s">
        <v>84</v>
      </c>
      <c r="D55" s="66"/>
      <c r="E55" s="103" t="s">
        <v>85</v>
      </c>
      <c r="F55" s="103" t="e">
        <f>((F54-E54)/E54)</f>
        <v>#DIV/0!</v>
      </c>
      <c r="G55" s="103" t="e">
        <f t="shared" ref="G55" si="165">((G54-F54)/F54)</f>
        <v>#DIV/0!</v>
      </c>
      <c r="H55" s="103" t="e">
        <f t="shared" ref="H55" si="166">((H54-G54)/G54)</f>
        <v>#DIV/0!</v>
      </c>
      <c r="I55" s="103" t="e">
        <f t="shared" ref="I55" si="167">((I54-H54)/H54)</f>
        <v>#DIV/0!</v>
      </c>
      <c r="J55" s="103" t="e">
        <f t="shared" ref="J55" ca="1" si="168">((J54-I54)/I54)</f>
        <v>#DIV/0!</v>
      </c>
      <c r="K55" s="103" t="e">
        <f t="shared" ref="K55" ca="1" si="169">((K54-J54)/J54)</f>
        <v>#DIV/0!</v>
      </c>
      <c r="L55" s="103" t="e">
        <f t="shared" ref="L55" ca="1" si="170">((L54-K54)/K54)</f>
        <v>#DIV/0!</v>
      </c>
      <c r="M55" s="103" t="e">
        <f t="shared" ref="M55" ca="1" si="171">((M54-L54)/L54)</f>
        <v>#DIV/0!</v>
      </c>
      <c r="N55" s="103" t="e">
        <f ca="1">((N54-M54)/M54)</f>
        <v>#DIV/0!</v>
      </c>
      <c r="O55" s="103" t="e">
        <f t="shared" ref="O55" ca="1" si="172">((O54-N54)/N54)</f>
        <v>#DIV/0!</v>
      </c>
      <c r="P55" s="103" t="e">
        <f t="shared" ref="P55" ca="1" si="173">((P54-O54)/O54)</f>
        <v>#DIV/0!</v>
      </c>
      <c r="Q55" s="103" t="e">
        <f t="shared" ref="Q55" ca="1" si="174">((Q54-P54)/P54)</f>
        <v>#DIV/0!</v>
      </c>
      <c r="R55" s="103" t="e">
        <f t="shared" ref="R55" ca="1" si="175">((R54-Q54)/Q54)</f>
        <v>#DIV/0!</v>
      </c>
      <c r="S55" s="103" t="e">
        <f t="shared" ref="S55" ca="1" si="176">((S54-R54)/R54)</f>
        <v>#DIV/0!</v>
      </c>
    </row>
    <row r="56" spans="2:19" x14ac:dyDescent="0.25">
      <c r="B56" s="266"/>
      <c r="D56" s="66"/>
      <c r="E56" s="103"/>
      <c r="F56" s="103"/>
      <c r="G56" s="103"/>
      <c r="H56" s="103"/>
      <c r="I56" s="103"/>
      <c r="J56" s="103"/>
      <c r="K56" s="103"/>
      <c r="L56" s="103"/>
      <c r="M56" s="103"/>
      <c r="N56" s="103"/>
      <c r="O56" s="103"/>
      <c r="P56" s="103"/>
      <c r="Q56" s="103"/>
      <c r="R56" s="103"/>
      <c r="S56" s="103"/>
    </row>
    <row r="57" spans="2:19" x14ac:dyDescent="0.25">
      <c r="B57" s="71" t="s">
        <v>454</v>
      </c>
      <c r="C57" t="s">
        <v>453</v>
      </c>
      <c r="D57" s="66"/>
      <c r="E57" s="281" cm="1">
        <f t="array" ref="E57">IF(_xll.BDP(Hub!$D$4,$B57,"EQY_FUND_RELATIVE_PERIOD",E$9, "EQY_FUND_CRNCY", Hub!$D$8, "FA_ADJUSTED", "ADJ")="#N/A N/A", 0, _xll.BDP(Hub!$D$4,$B57,"EQY_FUND_RELATIVE_PERIOD",E$9, "EQY_FUND_CRNCY", Hub!$D$8, "FA_ADJUSTED", "ADJ"))</f>
        <v>0</v>
      </c>
      <c r="F57" s="281" cm="1">
        <f t="array" ref="F57">IF(_xll.BDP(Hub!$D$4,$B57,"EQY_FUND_RELATIVE_PERIOD",F$9, "EQY_FUND_CRNCY", Hub!$D$8, "FA_ADJUSTED", "ADJ")="#N/A N/A", 0, _xll.BDP(Hub!$D$4,$B57,"EQY_FUND_RELATIVE_PERIOD",F$9, "EQY_FUND_CRNCY", Hub!$D$8, "FA_ADJUSTED", "ADJ"))</f>
        <v>0</v>
      </c>
      <c r="G57" s="281" cm="1">
        <f t="array" ref="G57">IF(_xll.BDP(Hub!$D$4,$B57,"EQY_FUND_RELATIVE_PERIOD",G$9, "EQY_FUND_CRNCY", Hub!$D$8, "FA_ADJUSTED", "ADJ")="#N/A N/A", 0, _xll.BDP(Hub!$D$4,$B57,"EQY_FUND_RELATIVE_PERIOD",G$9, "EQY_FUND_CRNCY", Hub!$D$8, "FA_ADJUSTED", "ADJ"))</f>
        <v>0</v>
      </c>
      <c r="H57" s="281" cm="1">
        <f t="array" ref="H57">IF(_xll.BDP(Hub!$D$4,$B57,"EQY_FUND_RELATIVE_PERIOD",H$9, "EQY_FUND_CRNCY", Hub!$D$8, "FA_ADJUSTED", "ADJ")="#N/A N/A", 0, _xll.BDP(Hub!$D$4,$B57,"EQY_FUND_RELATIVE_PERIOD",H$9, "EQY_FUND_CRNCY", Hub!$D$8, "FA_ADJUSTED", "ADJ"))</f>
        <v>0</v>
      </c>
      <c r="I57" s="281" cm="1">
        <f t="array" ref="I57">IF(_xll.BDP(Hub!$D$4,$B57,"EQY_FUND_RELATIVE_PERIOD",I$9, "EQY_FUND_CRNCY", Hub!$D$8, "FA_ADJUSTED", "ADJ")="#N/A N/A", 0, _xll.BDP(Hub!$D$4,$B57,"EQY_FUND_RELATIVE_PERIOD",I$9, "EQY_FUND_CRNCY", Hub!$D$8, "FA_ADJUSTED", "ADJ"))</f>
        <v>0</v>
      </c>
      <c r="J57" s="258">
        <f ca="1">IFERROR(J$42*Historicals!I32,0)</f>
        <v>0</v>
      </c>
      <c r="K57" s="258">
        <f ca="1">IFERROR(K$42*Historicals!J32,0)</f>
        <v>0</v>
      </c>
      <c r="L57" s="258">
        <f ca="1">IFERROR(L$42*Historicals!K32,0)</f>
        <v>0</v>
      </c>
      <c r="M57" s="258">
        <f ca="1">IFERROR(M$42*Historicals!L32,0)</f>
        <v>0</v>
      </c>
      <c r="N57" s="258">
        <f ca="1">IFERROR(N$42*Historicals!M32,0)</f>
        <v>0</v>
      </c>
      <c r="O57" s="258">
        <f ca="1">IFERROR(O$42*Historicals!N32,0)</f>
        <v>0</v>
      </c>
      <c r="P57" s="258">
        <f ca="1">IFERROR(P$42*Historicals!O32,0)</f>
        <v>0</v>
      </c>
      <c r="Q57" s="258">
        <f ca="1">IFERROR(Q$42*Historicals!P32,0)</f>
        <v>0</v>
      </c>
      <c r="R57" s="258">
        <f ca="1">IFERROR(R$42*Historicals!Q32,0)</f>
        <v>0</v>
      </c>
      <c r="S57" s="258">
        <f ca="1">IFERROR(S$42*Historicals!R32,0)</f>
        <v>0</v>
      </c>
    </row>
    <row r="58" spans="2:19" x14ac:dyDescent="0.25">
      <c r="C58" s="11" t="s">
        <v>84</v>
      </c>
      <c r="D58" s="66"/>
      <c r="E58" s="103" t="s">
        <v>85</v>
      </c>
      <c r="F58" s="103" t="e">
        <f>((F57-E57)/E57)</f>
        <v>#DIV/0!</v>
      </c>
      <c r="G58" s="103" t="e">
        <f t="shared" ref="G58" si="177">((G57-F57)/F57)</f>
        <v>#DIV/0!</v>
      </c>
      <c r="H58" s="103" t="e">
        <f t="shared" ref="H58" si="178">((H57-G57)/G57)</f>
        <v>#DIV/0!</v>
      </c>
      <c r="I58" s="103" t="e">
        <f t="shared" ref="I58" si="179">((I57-H57)/H57)</f>
        <v>#DIV/0!</v>
      </c>
      <c r="J58" s="103" t="e">
        <f t="shared" ref="J58" ca="1" si="180">((J57-I57)/I57)</f>
        <v>#DIV/0!</v>
      </c>
      <c r="K58" s="103" t="e">
        <f t="shared" ref="K58" ca="1" si="181">((K57-J57)/J57)</f>
        <v>#DIV/0!</v>
      </c>
      <c r="L58" s="103" t="e">
        <f t="shared" ref="L58" ca="1" si="182">((L57-K57)/K57)</f>
        <v>#DIV/0!</v>
      </c>
      <c r="M58" s="103" t="e">
        <f t="shared" ref="M58" ca="1" si="183">((M57-L57)/L57)</f>
        <v>#DIV/0!</v>
      </c>
      <c r="N58" s="103" t="e">
        <f ca="1">((N57-M57)/M57)</f>
        <v>#DIV/0!</v>
      </c>
      <c r="O58" s="103" t="e">
        <f t="shared" ref="O58" ca="1" si="184">((O57-N57)/N57)</f>
        <v>#DIV/0!</v>
      </c>
      <c r="P58" s="103" t="e">
        <f t="shared" ref="P58" ca="1" si="185">((P57-O57)/O57)</f>
        <v>#DIV/0!</v>
      </c>
      <c r="Q58" s="103" t="e">
        <f t="shared" ref="Q58" ca="1" si="186">((Q57-P57)/P57)</f>
        <v>#DIV/0!</v>
      </c>
      <c r="R58" s="103" t="e">
        <f t="shared" ref="R58" ca="1" si="187">((R57-Q57)/Q57)</f>
        <v>#DIV/0!</v>
      </c>
      <c r="S58" s="103" t="e">
        <f t="shared" ref="S58" ca="1" si="188">((S57-R57)/R57)</f>
        <v>#DIV/0!</v>
      </c>
    </row>
    <row r="59" spans="2:19" x14ac:dyDescent="0.25">
      <c r="B59" s="266"/>
      <c r="D59" s="66"/>
      <c r="E59" s="103"/>
      <c r="F59" s="103"/>
      <c r="G59" s="103"/>
      <c r="H59" s="103"/>
      <c r="I59" s="103"/>
      <c r="J59" s="103"/>
      <c r="K59" s="103"/>
      <c r="L59" s="103"/>
      <c r="M59" s="103"/>
      <c r="N59" s="103"/>
      <c r="O59" s="103"/>
      <c r="P59" s="103"/>
      <c r="Q59" s="103"/>
      <c r="R59" s="103"/>
      <c r="S59" s="103"/>
    </row>
    <row r="60" spans="2:19" x14ac:dyDescent="0.25">
      <c r="B60" s="71" t="s">
        <v>470</v>
      </c>
      <c r="C60" t="s">
        <v>469</v>
      </c>
      <c r="D60" s="66"/>
      <c r="E60" s="281" cm="1">
        <f t="array" ref="E60">IF(_xll.BDP(Hub!$D$4,$B60,"EQY_FUND_RELATIVE_PERIOD",E$9, "EQY_FUND_CRNCY", Hub!$D$8, "FA_ADJUSTED", "ADJ")="#N/A N/A", 0, _xll.BDP(Hub!$D$4,$B60,"EQY_FUND_RELATIVE_PERIOD",E$9, "EQY_FUND_CRNCY", Hub!$D$8, "FA_ADJUSTED", "ADJ"))</f>
        <v>45.938000000000002</v>
      </c>
      <c r="F60" s="281" cm="1">
        <f t="array" ref="F60">IF(_xll.BDP(Hub!$D$4,$B60,"EQY_FUND_RELATIVE_PERIOD",F$9, "EQY_FUND_CRNCY", Hub!$D$8, "FA_ADJUSTED", "ADJ")="#N/A N/A", 0, _xll.BDP(Hub!$D$4,$B60,"EQY_FUND_RELATIVE_PERIOD",F$9, "EQY_FUND_CRNCY", Hub!$D$8, "FA_ADJUSTED", "ADJ"))</f>
        <v>140</v>
      </c>
      <c r="G60" s="281" cm="1">
        <f t="array" ref="G60">IF(_xll.BDP(Hub!$D$4,$B60,"EQY_FUND_RELATIVE_PERIOD",G$9, "EQY_FUND_CRNCY", Hub!$D$8, "FA_ADJUSTED", "ADJ")="#N/A N/A", 0, _xll.BDP(Hub!$D$4,$B60,"EQY_FUND_RELATIVE_PERIOD",G$9, "EQY_FUND_CRNCY", Hub!$D$8, "FA_ADJUSTED", "ADJ"))</f>
        <v>373</v>
      </c>
      <c r="H60" s="281" cm="1">
        <f t="array" ref="H60">IF(_xll.BDP(Hub!$D$4,$B60,"EQY_FUND_RELATIVE_PERIOD",H$9, "EQY_FUND_CRNCY", Hub!$D$8, "FA_ADJUSTED", "ADJ")="#N/A N/A", 0, _xll.BDP(Hub!$D$4,$B60,"EQY_FUND_RELATIVE_PERIOD",H$9, "EQY_FUND_CRNCY", Hub!$D$8, "FA_ADJUSTED", "ADJ"))</f>
        <v>411</v>
      </c>
      <c r="I60" s="281" cm="1">
        <f t="array" ref="I60">IF(_xll.BDP(Hub!$D$4,$B60,"EQY_FUND_RELATIVE_PERIOD",I$9, "EQY_FUND_CRNCY", Hub!$D$8, "FA_ADJUSTED", "ADJ")="#N/A N/A", 0, _xll.BDP(Hub!$D$4,$B60,"EQY_FUND_RELATIVE_PERIOD",I$9, "EQY_FUND_CRNCY", Hub!$D$8, "FA_ADJUSTED", "ADJ"))</f>
        <v>434</v>
      </c>
      <c r="J60" s="345">
        <f ca="1">IFERROR(J$42*Historicals!I33,0)</f>
        <v>545.04516538255416</v>
      </c>
      <c r="K60" s="345">
        <f ca="1">IFERROR(K$42*Historicals!J33,0)</f>
        <v>757.26939794494615</v>
      </c>
      <c r="L60" s="345">
        <f ca="1">IFERROR(L$42*Historicals!K33,0)</f>
        <v>1060.0460000541666</v>
      </c>
      <c r="M60" s="345">
        <f ca="1">IFERROR(M$42*Historicals!L33,0)</f>
        <v>1495.5212323838255</v>
      </c>
      <c r="N60" s="345">
        <f ca="1">IFERROR(N$42*Historicals!M33,0)</f>
        <v>2126.9586257839437</v>
      </c>
      <c r="O60" s="345">
        <f ca="1">IFERROR(O$42*Historicals!N33,0)</f>
        <v>3049.9463582591347</v>
      </c>
      <c r="P60" s="345">
        <f ca="1">IFERROR(P$42*Historicals!O33,0)</f>
        <v>4409.8125332480458</v>
      </c>
      <c r="Q60" s="345">
        <f ca="1">IFERROR(Q$42*Historicals!P33,0)</f>
        <v>6428.795849688875</v>
      </c>
      <c r="R60" s="345">
        <f ca="1">IFERROR(R$42*Historicals!Q33,0)</f>
        <v>9448.5928398325068</v>
      </c>
      <c r="S60" s="345">
        <f ca="1">IFERROR(S$42*Historicals!R33,0)</f>
        <v>13997.208987521539</v>
      </c>
    </row>
    <row r="61" spans="2:19" x14ac:dyDescent="0.25">
      <c r="C61" s="11" t="s">
        <v>84</v>
      </c>
      <c r="D61" s="66"/>
      <c r="E61" s="103" t="s">
        <v>85</v>
      </c>
      <c r="F61" s="103">
        <f>((F60-E60)/E60)</f>
        <v>2.0475858766163086</v>
      </c>
      <c r="G61" s="103">
        <f t="shared" ref="G61" si="189">((G60-F60)/F60)</f>
        <v>1.6642857142857144</v>
      </c>
      <c r="H61" s="103">
        <f t="shared" ref="H61" si="190">((H60-G60)/G60)</f>
        <v>0.10187667560321716</v>
      </c>
      <c r="I61" s="103">
        <f t="shared" ref="I61" si="191">((I60-H60)/H60)</f>
        <v>5.5961070559610707E-2</v>
      </c>
      <c r="J61" s="103">
        <f t="shared" ref="J61" ca="1" si="192">((J60-I60)/I60)</f>
        <v>0.25586443636533218</v>
      </c>
      <c r="K61" s="103">
        <f t="shared" ref="K61" ca="1" si="193">((K60-J60)/J60)</f>
        <v>0.38936999361041369</v>
      </c>
      <c r="L61" s="103">
        <f t="shared" ref="L61" ca="1" si="194">((L60-K60)/K60)</f>
        <v>0.39982680262913839</v>
      </c>
      <c r="M61" s="103">
        <f t="shared" ref="M61" ca="1" si="195">((M60-L60)/L60)</f>
        <v>0.41080786334499331</v>
      </c>
      <c r="N61" s="103">
        <f ca="1">((N60-M60)/M60)</f>
        <v>0.42221894261816795</v>
      </c>
      <c r="O61" s="103">
        <f t="shared" ref="O61" ca="1" si="196">((O60-N60)/N60)</f>
        <v>0.43394719637999579</v>
      </c>
      <c r="P61" s="103">
        <f t="shared" ref="P61" ca="1" si="197">((P60-O60)/O60)</f>
        <v>0.44586560393314689</v>
      </c>
      <c r="Q61" s="103">
        <f t="shared" ref="Q61" ca="1" si="198">((Q60-P60)/P60)</f>
        <v>0.45783880861569137</v>
      </c>
      <c r="R61" s="103">
        <f t="shared" ref="R61" ca="1" si="199">((R60-Q60)/Q60)</f>
        <v>0.46972980022219502</v>
      </c>
      <c r="S61" s="103">
        <f t="shared" ref="S61" ca="1" si="200">((S60-R60)/R60)</f>
        <v>0.48140672635542037</v>
      </c>
    </row>
    <row r="62" spans="2:19" x14ac:dyDescent="0.25">
      <c r="C62" s="11"/>
      <c r="D62" s="66"/>
      <c r="E62" s="103"/>
      <c r="F62" s="103"/>
      <c r="G62" s="103"/>
      <c r="H62" s="103"/>
      <c r="I62" s="103"/>
      <c r="J62" s="103"/>
      <c r="K62" s="103"/>
      <c r="L62" s="103"/>
      <c r="M62" s="103"/>
      <c r="N62" s="103"/>
      <c r="O62" s="103"/>
      <c r="P62" s="103"/>
      <c r="Q62" s="103"/>
      <c r="R62" s="103"/>
      <c r="S62" s="103"/>
    </row>
    <row r="63" spans="2:19" x14ac:dyDescent="0.25">
      <c r="B63" s="71" t="s">
        <v>450</v>
      </c>
      <c r="C63" t="s">
        <v>451</v>
      </c>
      <c r="D63" s="66"/>
      <c r="E63" s="281" cm="1">
        <f t="array" ref="E63">IF(_xll.BDP(Hub!$D$4,$B63,"EQY_FUND_RELATIVE_PERIOD",E$9, "EQY_FUND_CRNCY", Hub!$D$8, "FA_ADJUSTED", "ADJ")="#N/A N/A", 0, _xll.BDP(Hub!$D$4,$B63,"EQY_FUND_RELATIVE_PERIOD",E$9, "EQY_FUND_CRNCY", Hub!$D$8, "FA_ADJUSTED", "ADJ"))</f>
        <v>0</v>
      </c>
      <c r="F63" s="281" cm="1">
        <f t="array" ref="F63">IF(_xll.BDP(Hub!$D$4,$B63,"EQY_FUND_RELATIVE_PERIOD",F$9, "EQY_FUND_CRNCY", Hub!$D$8, "FA_ADJUSTED", "ADJ")="#N/A N/A", 0, _xll.BDP(Hub!$D$4,$B63,"EQY_FUND_RELATIVE_PERIOD",F$9, "EQY_FUND_CRNCY", Hub!$D$8, "FA_ADJUSTED", "ADJ"))</f>
        <v>0</v>
      </c>
      <c r="G63" s="281" cm="1">
        <f t="array" ref="G63">IF(_xll.BDP(Hub!$D$4,$B63,"EQY_FUND_RELATIVE_PERIOD",G$9, "EQY_FUND_CRNCY", Hub!$D$8, "FA_ADJUSTED", "ADJ")="#N/A N/A", 0, _xll.BDP(Hub!$D$4,$B63,"EQY_FUND_RELATIVE_PERIOD",G$9, "EQY_FUND_CRNCY", Hub!$D$8, "FA_ADJUSTED", "ADJ"))</f>
        <v>0</v>
      </c>
      <c r="H63" s="281" cm="1">
        <f t="array" ref="H63">IF(_xll.BDP(Hub!$D$4,$B63,"EQY_FUND_RELATIVE_PERIOD",H$9, "EQY_FUND_CRNCY", Hub!$D$8, "FA_ADJUSTED", "ADJ")="#N/A N/A", 0, _xll.BDP(Hub!$D$4,$B63,"EQY_FUND_RELATIVE_PERIOD",H$9, "EQY_FUND_CRNCY", Hub!$D$8, "FA_ADJUSTED", "ADJ"))</f>
        <v>0</v>
      </c>
      <c r="I63" s="281" cm="1">
        <f t="array" ref="I63">IF(_xll.BDP(Hub!$D$4,$B63,"EQY_FUND_RELATIVE_PERIOD",I$9, "EQY_FUND_CRNCY", Hub!$D$8, "FA_ADJUSTED", "ADJ")="#N/A N/A", 0, _xll.BDP(Hub!$D$4,$B63,"EQY_FUND_RELATIVE_PERIOD",I$9, "EQY_FUND_CRNCY", Hub!$D$8, "FA_ADJUSTED", "ADJ"))</f>
        <v>0</v>
      </c>
      <c r="J63" s="345">
        <f ca="1">IFERROR(J$42*Historicals!I35,0)</f>
        <v>0</v>
      </c>
      <c r="K63" s="345">
        <f ca="1">IFERROR(K$42*Historicals!J35,0)</f>
        <v>0</v>
      </c>
      <c r="L63" s="345">
        <f ca="1">IFERROR(L$42*Historicals!K35,0)</f>
        <v>0</v>
      </c>
      <c r="M63" s="345">
        <f ca="1">IFERROR(M$42*Historicals!L35,0)</f>
        <v>0</v>
      </c>
      <c r="N63" s="345">
        <f ca="1">IFERROR(N$42*Historicals!M35,0)</f>
        <v>0</v>
      </c>
      <c r="O63" s="345">
        <f ca="1">IFERROR(O$42*Historicals!N35,0)</f>
        <v>0</v>
      </c>
      <c r="P63" s="345">
        <f ca="1">IFERROR(P$42*Historicals!O35,0)</f>
        <v>0</v>
      </c>
      <c r="Q63" s="345">
        <f ca="1">IFERROR(Q$42*Historicals!P35,0)</f>
        <v>0</v>
      </c>
      <c r="R63" s="345">
        <f ca="1">IFERROR(R$42*Historicals!Q35,0)</f>
        <v>0</v>
      </c>
      <c r="S63" s="345">
        <f ca="1">IFERROR(S$42*Historicals!R35,0)</f>
        <v>0</v>
      </c>
    </row>
    <row r="64" spans="2:19" x14ac:dyDescent="0.25">
      <c r="C64" s="11" t="s">
        <v>84</v>
      </c>
      <c r="D64" s="66"/>
      <c r="E64" s="103" t="s">
        <v>85</v>
      </c>
      <c r="F64" s="103" t="e">
        <f>((F63-E63)/E63)</f>
        <v>#DIV/0!</v>
      </c>
      <c r="G64" s="103" t="e">
        <f t="shared" ref="G64" si="201">((G63-F63)/F63)</f>
        <v>#DIV/0!</v>
      </c>
      <c r="H64" s="103" t="e">
        <f t="shared" ref="H64" si="202">((H63-G63)/G63)</f>
        <v>#DIV/0!</v>
      </c>
      <c r="I64" s="103" t="e">
        <f t="shared" ref="I64" si="203">((I63-H63)/H63)</f>
        <v>#DIV/0!</v>
      </c>
      <c r="J64" s="103" t="e">
        <f t="shared" ref="J64" ca="1" si="204">((J63-I63)/I63)</f>
        <v>#DIV/0!</v>
      </c>
      <c r="K64" s="103" t="e">
        <f t="shared" ref="K64" ca="1" si="205">((K63-J63)/J63)</f>
        <v>#DIV/0!</v>
      </c>
      <c r="L64" s="103" t="e">
        <f t="shared" ref="L64" ca="1" si="206">((L63-K63)/K63)</f>
        <v>#DIV/0!</v>
      </c>
      <c r="M64" s="103" t="e">
        <f t="shared" ref="M64" ca="1" si="207">((M63-L63)/L63)</f>
        <v>#DIV/0!</v>
      </c>
      <c r="N64" s="103" t="e">
        <f ca="1">((N63-M63)/M63)</f>
        <v>#DIV/0!</v>
      </c>
      <c r="O64" s="103" t="e">
        <f t="shared" ref="O64" ca="1" si="208">((O63-N63)/N63)</f>
        <v>#DIV/0!</v>
      </c>
      <c r="P64" s="103" t="e">
        <f t="shared" ref="P64" ca="1" si="209">((P63-O63)/O63)</f>
        <v>#DIV/0!</v>
      </c>
      <c r="Q64" s="103" t="e">
        <f t="shared" ref="Q64" ca="1" si="210">((Q63-P63)/P63)</f>
        <v>#DIV/0!</v>
      </c>
      <c r="R64" s="103" t="e">
        <f t="shared" ref="R64" ca="1" si="211">((R63-Q63)/Q63)</f>
        <v>#DIV/0!</v>
      </c>
      <c r="S64" s="103" t="e">
        <f t="shared" ref="S64" ca="1" si="212">((S63-R63)/R63)</f>
        <v>#DIV/0!</v>
      </c>
    </row>
    <row r="65" spans="2:36" x14ac:dyDescent="0.25">
      <c r="C65" s="11"/>
      <c r="D65" s="66"/>
      <c r="E65" s="103"/>
      <c r="F65" s="103"/>
      <c r="G65" s="103"/>
      <c r="H65" s="103"/>
      <c r="I65" s="103"/>
      <c r="J65" s="103"/>
      <c r="K65" s="103"/>
      <c r="L65" s="103"/>
      <c r="M65" s="103"/>
      <c r="N65" s="103"/>
      <c r="O65" s="103"/>
      <c r="P65" s="103"/>
      <c r="Q65" s="103"/>
      <c r="R65" s="103"/>
      <c r="S65" s="103"/>
    </row>
    <row r="66" spans="2:36" x14ac:dyDescent="0.25">
      <c r="B66" s="71" t="s">
        <v>463</v>
      </c>
      <c r="C66" t="s">
        <v>462</v>
      </c>
      <c r="D66" s="66"/>
      <c r="E66" s="281" cm="1">
        <f t="array" ref="E66">IFERROR(IF(-_xll.BDP(Hub!$D$4,$B66,"EQY_FUND_RELATIVE_PERIOD",E$9, "EQY_FUND_CRNCY", Hub!$D$8, "FA_ADJUSTED", "ADJ")="#N/A N/A", 0, -_xll.BDP(Hub!$D$4,$B66,"EQY_FUND_RELATIVE_PERIOD",E$9, "EQY_FUND_CRNCY", Hub!$D$8, "FA_ADJUSTED", "ADJ")),0)</f>
        <v>0</v>
      </c>
      <c r="F66" s="281" cm="1">
        <f t="array" ref="F66">IFERROR(IF(-_xll.BDP(Hub!$D$4,$B66,"EQY_FUND_RELATIVE_PERIOD",F$9, "EQY_FUND_CRNCY", Hub!$D$8, "FA_ADJUSTED", "ADJ")="#N/A N/A", 0, -_xll.BDP(Hub!$D$4,$B66,"EQY_FUND_RELATIVE_PERIOD",F$9, "EQY_FUND_CRNCY", Hub!$D$8, "FA_ADJUSTED", "ADJ")),0)</f>
        <v>0</v>
      </c>
      <c r="G66" s="281" cm="1">
        <f t="array" ref="G66">IFERROR(IF(-_xll.BDP(Hub!$D$4,$B66,"EQY_FUND_RELATIVE_PERIOD",G$9, "EQY_FUND_CRNCY", Hub!$D$8, "FA_ADJUSTED", "ADJ")="#N/A N/A", 0, -_xll.BDP(Hub!$D$4,$B66,"EQY_FUND_RELATIVE_PERIOD",G$9, "EQY_FUND_CRNCY", Hub!$D$8, "FA_ADJUSTED", "ADJ")),0)</f>
        <v>0</v>
      </c>
      <c r="H66" s="281" cm="1">
        <f t="array" ref="H66">IFERROR(IF(-_xll.BDP(Hub!$D$4,$B66,"EQY_FUND_RELATIVE_PERIOD",H$9, "EQY_FUND_CRNCY", Hub!$D$8, "FA_ADJUSTED", "ADJ")="#N/A N/A", 0, -_xll.BDP(Hub!$D$4,$B66,"EQY_FUND_RELATIVE_PERIOD",H$9, "EQY_FUND_CRNCY", Hub!$D$8, "FA_ADJUSTED", "ADJ")),0)</f>
        <v>0</v>
      </c>
      <c r="I66" s="281" cm="1">
        <f t="array" ref="I66">IFERROR(IF(-_xll.BDP(Hub!$D$4,$B66,"EQY_FUND_RELATIVE_PERIOD",I$9, "EQY_FUND_CRNCY", Hub!$D$8, "FA_ADJUSTED", "ADJ")="#N/A N/A", 0, -_xll.BDP(Hub!$D$4,$B66,"EQY_FUND_RELATIVE_PERIOD",I$9, "EQY_FUND_CRNCY", Hub!$D$8, "FA_ADJUSTED", "ADJ")),0)</f>
        <v>0</v>
      </c>
      <c r="J66" s="345">
        <f ca="1">IFERROR(J$42*Historicals!I36,0)</f>
        <v>0</v>
      </c>
      <c r="K66" s="345">
        <f ca="1">IFERROR(K$42*Historicals!J36,0)</f>
        <v>0</v>
      </c>
      <c r="L66" s="345">
        <f ca="1">IFERROR(L$42*Historicals!K36,0)</f>
        <v>0</v>
      </c>
      <c r="M66" s="345">
        <f ca="1">IFERROR(M$42*Historicals!L36,0)</f>
        <v>0</v>
      </c>
      <c r="N66" s="345">
        <f ca="1">IFERROR(N$42*Historicals!M36,0)</f>
        <v>0</v>
      </c>
      <c r="O66" s="345">
        <f ca="1">IFERROR(O$42*Historicals!N36,0)</f>
        <v>0</v>
      </c>
      <c r="P66" s="345">
        <f ca="1">IFERROR(P$42*Historicals!O36,0)</f>
        <v>0</v>
      </c>
      <c r="Q66" s="345">
        <f ca="1">IFERROR(Q$42*Historicals!P36,0)</f>
        <v>0</v>
      </c>
      <c r="R66" s="345">
        <f ca="1">IFERROR(R$42*Historicals!Q36,0)</f>
        <v>0</v>
      </c>
      <c r="S66" s="345">
        <f ca="1">IFERROR(S$42*Historicals!R36,0)</f>
        <v>0</v>
      </c>
    </row>
    <row r="67" spans="2:36" x14ac:dyDescent="0.25">
      <c r="C67" s="11" t="s">
        <v>84</v>
      </c>
      <c r="D67" s="66"/>
      <c r="E67" s="103" t="s">
        <v>85</v>
      </c>
      <c r="F67" s="103" t="e">
        <f>((F66-E66)/E66)</f>
        <v>#DIV/0!</v>
      </c>
      <c r="G67" s="103" t="e">
        <f t="shared" ref="G67" si="213">((G66-F66)/F66)</f>
        <v>#DIV/0!</v>
      </c>
      <c r="H67" s="103" t="e">
        <f t="shared" ref="H67" si="214">((H66-G66)/G66)</f>
        <v>#DIV/0!</v>
      </c>
      <c r="I67" s="103" t="e">
        <f t="shared" ref="I67" si="215">((I66-H66)/H66)</f>
        <v>#DIV/0!</v>
      </c>
      <c r="J67" s="103" t="e">
        <f t="shared" ref="J67" ca="1" si="216">((J66-I66)/I66)</f>
        <v>#DIV/0!</v>
      </c>
      <c r="K67" s="103" t="e">
        <f t="shared" ref="K67" ca="1" si="217">((K66-J66)/J66)</f>
        <v>#DIV/0!</v>
      </c>
      <c r="L67" s="103" t="e">
        <f t="shared" ref="L67" ca="1" si="218">((L66-K66)/K66)</f>
        <v>#DIV/0!</v>
      </c>
      <c r="M67" s="103" t="e">
        <f t="shared" ref="M67" ca="1" si="219">((M66-L66)/L66)</f>
        <v>#DIV/0!</v>
      </c>
      <c r="N67" s="103" t="e">
        <f ca="1">((N66-M66)/M66)</f>
        <v>#DIV/0!</v>
      </c>
      <c r="O67" s="103" t="e">
        <f t="shared" ref="O67" ca="1" si="220">((O66-N66)/N66)</f>
        <v>#DIV/0!</v>
      </c>
      <c r="P67" s="103" t="e">
        <f t="shared" ref="P67" ca="1" si="221">((P66-O66)/O66)</f>
        <v>#DIV/0!</v>
      </c>
      <c r="Q67" s="103" t="e">
        <f t="shared" ref="Q67" ca="1" si="222">((Q66-P66)/P66)</f>
        <v>#DIV/0!</v>
      </c>
      <c r="R67" s="103" t="e">
        <f t="shared" ref="R67" ca="1" si="223">((R66-Q66)/Q66)</f>
        <v>#DIV/0!</v>
      </c>
      <c r="S67" s="103" t="e">
        <f t="shared" ref="S67" ca="1" si="224">((S66-R66)/R66)</f>
        <v>#DIV/0!</v>
      </c>
    </row>
    <row r="68" spans="2:36" x14ac:dyDescent="0.25">
      <c r="C68" s="11"/>
      <c r="D68" s="66"/>
      <c r="E68" s="103"/>
      <c r="F68" s="103"/>
      <c r="G68" s="103"/>
      <c r="H68" s="103"/>
      <c r="I68" s="103"/>
      <c r="J68" s="103"/>
      <c r="K68" s="103"/>
      <c r="L68" s="103"/>
      <c r="M68" s="103"/>
      <c r="N68" s="103"/>
      <c r="O68" s="103"/>
      <c r="P68" s="103"/>
      <c r="Q68" s="103"/>
      <c r="R68" s="103"/>
      <c r="S68" s="103"/>
    </row>
    <row r="69" spans="2:36" x14ac:dyDescent="0.25">
      <c r="C69" s="101" t="s">
        <v>413</v>
      </c>
      <c r="D69" s="102"/>
      <c r="E69" s="270">
        <f>E48+E51+E54+E60+E57+E63+E66</f>
        <v>45.938000000000002</v>
      </c>
      <c r="F69" s="270">
        <f t="shared" ref="F69:S69" si="225">F48+F51+F54+F60+F57+F63+F66</f>
        <v>140</v>
      </c>
      <c r="G69" s="270">
        <f t="shared" si="225"/>
        <v>373</v>
      </c>
      <c r="H69" s="270">
        <f t="shared" si="225"/>
        <v>411</v>
      </c>
      <c r="I69" s="270">
        <f t="shared" si="225"/>
        <v>434</v>
      </c>
      <c r="J69" s="270">
        <f t="shared" ca="1" si="225"/>
        <v>545.04516538255416</v>
      </c>
      <c r="K69" s="270">
        <f t="shared" ca="1" si="225"/>
        <v>757.26939794494615</v>
      </c>
      <c r="L69" s="270">
        <f t="shared" ca="1" si="225"/>
        <v>1060.0460000541666</v>
      </c>
      <c r="M69" s="270">
        <f t="shared" ca="1" si="225"/>
        <v>1495.5212323838255</v>
      </c>
      <c r="N69" s="270">
        <f t="shared" ca="1" si="225"/>
        <v>2126.9586257839437</v>
      </c>
      <c r="O69" s="270">
        <f t="shared" ca="1" si="225"/>
        <v>3049.9463582591347</v>
      </c>
      <c r="P69" s="270">
        <f t="shared" ca="1" si="225"/>
        <v>4409.8125332480458</v>
      </c>
      <c r="Q69" s="270">
        <f t="shared" ca="1" si="225"/>
        <v>6428.795849688875</v>
      </c>
      <c r="R69" s="270">
        <f t="shared" ca="1" si="225"/>
        <v>9448.5928398325068</v>
      </c>
      <c r="S69" s="270">
        <f t="shared" ca="1" si="225"/>
        <v>13997.208987521539</v>
      </c>
    </row>
    <row r="70" spans="2:36" x14ac:dyDescent="0.25">
      <c r="C70" s="11" t="s">
        <v>84</v>
      </c>
      <c r="D70" s="66"/>
      <c r="E70" s="103" t="s">
        <v>85</v>
      </c>
      <c r="F70" s="103">
        <f>((F69-E69)/E69)</f>
        <v>2.0475858766163086</v>
      </c>
      <c r="G70" s="103">
        <f t="shared" ref="G70" si="226">((G69-F69)/F69)</f>
        <v>1.6642857142857144</v>
      </c>
      <c r="H70" s="103">
        <f t="shared" ref="H70" si="227">((H69-G69)/G69)</f>
        <v>0.10187667560321716</v>
      </c>
      <c r="I70" s="103">
        <f t="shared" ref="I70" si="228">((I69-H69)/H69)</f>
        <v>5.5961070559610707E-2</v>
      </c>
      <c r="J70" s="103">
        <f t="shared" ref="J70" ca="1" si="229">((J69-I69)/I69)</f>
        <v>0.25586443636533218</v>
      </c>
      <c r="K70" s="103">
        <f t="shared" ref="K70" ca="1" si="230">((K69-J69)/J69)</f>
        <v>0.38936999361041369</v>
      </c>
      <c r="L70" s="103">
        <f t="shared" ref="L70" ca="1" si="231">((L69-K69)/K69)</f>
        <v>0.39982680262913839</v>
      </c>
      <c r="M70" s="103">
        <f t="shared" ref="M70" ca="1" si="232">((M69-L69)/L69)</f>
        <v>0.41080786334499331</v>
      </c>
      <c r="N70" s="103">
        <f t="shared" ref="N70" ca="1" si="233">((N69-M69)/M69)</f>
        <v>0.42221894261816795</v>
      </c>
      <c r="O70" s="103">
        <f t="shared" ref="O70" ca="1" si="234">((O69-N69)/N69)</f>
        <v>0.43394719637999579</v>
      </c>
      <c r="P70" s="103">
        <f t="shared" ref="P70" ca="1" si="235">((P69-O69)/O69)</f>
        <v>0.44586560393314689</v>
      </c>
      <c r="Q70" s="103">
        <f t="shared" ref="Q70" ca="1" si="236">((Q69-P69)/P69)</f>
        <v>0.45783880861569137</v>
      </c>
      <c r="R70" s="103">
        <f t="shared" ref="R70" ca="1" si="237">((R69-Q69)/Q69)</f>
        <v>0.46972980022219502</v>
      </c>
      <c r="S70" s="103">
        <f t="shared" ref="S70" ca="1" si="238">((S69-R69)/R69)</f>
        <v>0.48140672635542037</v>
      </c>
    </row>
    <row r="71" spans="2:36" x14ac:dyDescent="0.25">
      <c r="C71" s="11"/>
      <c r="D71" s="66"/>
      <c r="E71" s="103"/>
      <c r="F71" s="103"/>
      <c r="G71" s="103"/>
      <c r="H71" s="103"/>
      <c r="I71" s="103"/>
      <c r="J71" s="103"/>
      <c r="K71" s="103"/>
      <c r="L71" s="103"/>
      <c r="M71" s="103"/>
      <c r="N71" s="103"/>
      <c r="O71" s="103"/>
      <c r="P71" s="103"/>
      <c r="Q71" s="103"/>
      <c r="R71" s="103"/>
      <c r="S71" s="103"/>
    </row>
    <row r="72" spans="2:36" x14ac:dyDescent="0.25">
      <c r="C72" s="11"/>
      <c r="D72" s="66"/>
      <c r="E72" s="103"/>
      <c r="F72" s="103"/>
      <c r="G72" s="103"/>
      <c r="H72" s="103"/>
      <c r="I72" s="103"/>
      <c r="J72" s="103"/>
      <c r="K72" s="103"/>
      <c r="L72" s="103"/>
      <c r="M72" s="103"/>
      <c r="N72" s="103"/>
      <c r="O72" s="103"/>
      <c r="P72" s="103"/>
      <c r="Q72" s="103"/>
      <c r="R72" s="103"/>
      <c r="S72" s="103"/>
    </row>
    <row r="73" spans="2:36" ht="15" customHeight="1" x14ac:dyDescent="0.25">
      <c r="C73" s="101" t="s">
        <v>414</v>
      </c>
      <c r="D73" s="102"/>
      <c r="E73" s="301">
        <f t="shared" ref="E73:S73" si="239">E42-E69</f>
        <v>2482.0619999999999</v>
      </c>
      <c r="F73" s="301">
        <f t="shared" si="239"/>
        <v>3488</v>
      </c>
      <c r="G73" s="301">
        <f t="shared" si="239"/>
        <v>9197</v>
      </c>
      <c r="H73" s="301">
        <f t="shared" si="239"/>
        <v>10410</v>
      </c>
      <c r="I73" s="301">
        <f t="shared" si="239"/>
        <v>11094</v>
      </c>
      <c r="J73" s="301">
        <f t="shared" ca="1" si="239"/>
        <v>15357.950235222273</v>
      </c>
      <c r="K73" s="301">
        <f t="shared" ca="1" si="239"/>
        <v>21337.875220179823</v>
      </c>
      <c r="L73" s="301">
        <f t="shared" ca="1" si="239"/>
        <v>29869.329644363843</v>
      </c>
      <c r="M73" s="301">
        <f t="shared" ca="1" si="239"/>
        <v>42139.885135112221</v>
      </c>
      <c r="N73" s="301">
        <f t="shared" ca="1" si="239"/>
        <v>59932.142878910352</v>
      </c>
      <c r="O73" s="301">
        <f t="shared" ca="1" si="239"/>
        <v>85939.528254258839</v>
      </c>
      <c r="P73" s="301">
        <f t="shared" ca="1" si="239"/>
        <v>124257.00792107372</v>
      </c>
      <c r="Q73" s="301">
        <f t="shared" ca="1" si="239"/>
        <v>181146.68838980861</v>
      </c>
      <c r="R73" s="301">
        <f t="shared" ca="1" si="239"/>
        <v>266236.68613806559</v>
      </c>
      <c r="S73" s="301">
        <f t="shared" ca="1" si="239"/>
        <v>394404.81764750736</v>
      </c>
    </row>
    <row r="74" spans="2:36" x14ac:dyDescent="0.25">
      <c r="C74" s="11" t="s">
        <v>84</v>
      </c>
      <c r="D74" s="66"/>
      <c r="E74" s="103" t="s">
        <v>85</v>
      </c>
      <c r="F74" s="103">
        <f>((F73-E73)/E73)</f>
        <v>0.40528318793003565</v>
      </c>
      <c r="G74" s="103">
        <f t="shared" ref="G74" si="240">((G73-F73)/F73)</f>
        <v>1.6367545871559632</v>
      </c>
      <c r="H74" s="103">
        <f t="shared" ref="H74" si="241">((H73-G73)/G73)</f>
        <v>0.13189083396759813</v>
      </c>
      <c r="I74" s="103">
        <f t="shared" ref="I74" si="242">((I73-H73)/H73)</f>
        <v>6.5706051873198848E-2</v>
      </c>
      <c r="J74" s="103">
        <f t="shared" ref="J74" ca="1" si="243">((J73-I73)/I73)</f>
        <v>0.38434741619093865</v>
      </c>
      <c r="K74" s="103">
        <f t="shared" ref="K74" ca="1" si="244">((K73-J73)/J73)</f>
        <v>0.3893699936104138</v>
      </c>
      <c r="L74" s="103">
        <f t="shared" ref="L74" ca="1" si="245">((L73-K73)/K73)</f>
        <v>0.39982680262913833</v>
      </c>
      <c r="M74" s="103">
        <f t="shared" ref="M74" ca="1" si="246">((M73-L73)/L73)</f>
        <v>0.41080786334499331</v>
      </c>
      <c r="N74" s="103">
        <f t="shared" ref="N74" ca="1" si="247">((N73-M73)/M73)</f>
        <v>0.42221894261816784</v>
      </c>
      <c r="O74" s="103">
        <f t="shared" ref="O74" ca="1" si="248">((O73-N73)/N73)</f>
        <v>0.43394719637999596</v>
      </c>
      <c r="P74" s="103">
        <f t="shared" ref="P74" ca="1" si="249">((P73-O73)/O73)</f>
        <v>0.44586560393314711</v>
      </c>
      <c r="Q74" s="103">
        <f t="shared" ref="Q74" ca="1" si="250">((Q73-P73)/P73)</f>
        <v>0.45783880861569121</v>
      </c>
      <c r="R74" s="103">
        <f t="shared" ref="R74" ca="1" si="251">((R73-Q73)/Q73)</f>
        <v>0.46972980022219485</v>
      </c>
      <c r="S74" s="103">
        <f t="shared" ref="S74" ca="1" si="252">((S73-R73)/R73)</f>
        <v>0.4814067263554207</v>
      </c>
      <c r="Z74" s="71"/>
      <c r="AA74" s="71"/>
      <c r="AB74" s="71"/>
      <c r="AC74" s="71"/>
      <c r="AD74" s="71"/>
      <c r="AE74" s="71"/>
      <c r="AF74" s="71"/>
      <c r="AG74" s="340"/>
      <c r="AH74" s="340"/>
      <c r="AI74" s="71"/>
      <c r="AJ74" s="71"/>
    </row>
    <row r="75" spans="2:36" x14ac:dyDescent="0.25">
      <c r="C75" s="11"/>
      <c r="D75" s="66"/>
      <c r="E75" s="103"/>
      <c r="F75" s="103"/>
      <c r="G75" s="103"/>
      <c r="H75" s="103"/>
      <c r="I75" s="103"/>
      <c r="J75" s="103"/>
      <c r="K75" s="103"/>
      <c r="L75" s="103"/>
      <c r="M75" s="103"/>
      <c r="N75" s="103"/>
      <c r="O75" s="103"/>
      <c r="P75" s="103"/>
      <c r="Q75" s="103"/>
      <c r="R75" s="103"/>
      <c r="S75" s="103"/>
      <c r="Z75" s="71"/>
      <c r="AA75" s="71"/>
      <c r="AB75" s="71"/>
      <c r="AC75" s="71"/>
      <c r="AD75" s="71"/>
      <c r="AE75" s="71"/>
      <c r="AF75" s="71"/>
      <c r="AG75" s="340"/>
      <c r="AH75" s="340"/>
      <c r="AI75" s="71"/>
      <c r="AJ75" s="71"/>
    </row>
    <row r="76" spans="2:36" x14ac:dyDescent="0.25">
      <c r="C76" s="11"/>
      <c r="D76" s="66"/>
      <c r="E76" s="103"/>
      <c r="F76" s="103"/>
      <c r="G76" s="103"/>
      <c r="H76" s="103"/>
      <c r="I76" s="103"/>
      <c r="J76" s="103"/>
      <c r="K76" s="103"/>
      <c r="L76" s="103"/>
      <c r="M76" s="103"/>
      <c r="N76" s="103"/>
      <c r="O76" s="103"/>
      <c r="P76" s="103"/>
      <c r="Q76" s="103"/>
      <c r="R76" s="103"/>
      <c r="S76" s="103"/>
      <c r="Z76" s="71"/>
      <c r="AA76" s="71"/>
      <c r="AB76" s="71"/>
      <c r="AC76" s="71"/>
      <c r="AD76" s="71"/>
      <c r="AE76" s="71"/>
      <c r="AF76" s="71"/>
      <c r="AG76" s="340"/>
      <c r="AH76" s="340"/>
      <c r="AI76" s="71"/>
      <c r="AJ76" s="71"/>
    </row>
    <row r="77" spans="2:36" x14ac:dyDescent="0.25">
      <c r="C77" s="10" t="s">
        <v>416</v>
      </c>
      <c r="D77" s="66"/>
      <c r="E77" s="342"/>
      <c r="F77" s="342"/>
      <c r="G77" s="342"/>
      <c r="H77" s="342"/>
      <c r="I77" s="342"/>
      <c r="J77" s="342"/>
      <c r="K77" s="342"/>
      <c r="L77" s="342"/>
      <c r="M77" s="342"/>
      <c r="N77" s="342"/>
      <c r="O77" s="342"/>
      <c r="P77" s="342"/>
      <c r="Q77" s="342"/>
      <c r="R77" s="342"/>
      <c r="S77" s="342"/>
      <c r="Z77" s="71"/>
      <c r="AA77" s="71"/>
      <c r="AB77" s="71"/>
      <c r="AC77" s="71"/>
      <c r="AD77" s="71"/>
      <c r="AE77" s="71"/>
      <c r="AF77" s="71"/>
      <c r="AG77" s="340"/>
      <c r="AH77" s="340"/>
      <c r="AI77" s="71"/>
      <c r="AJ77" s="71"/>
    </row>
    <row r="78" spans="2:36" x14ac:dyDescent="0.25">
      <c r="C78" s="10"/>
      <c r="D78" s="66"/>
      <c r="E78" s="342"/>
      <c r="F78" s="342"/>
      <c r="G78" s="342"/>
      <c r="H78" s="342"/>
      <c r="I78" s="342"/>
      <c r="J78" s="342"/>
      <c r="K78" s="342"/>
      <c r="L78" s="342"/>
      <c r="M78" s="342"/>
      <c r="N78" s="342"/>
      <c r="O78" s="342"/>
      <c r="P78" s="342"/>
      <c r="Q78" s="342"/>
      <c r="R78" s="342"/>
      <c r="S78" s="342"/>
      <c r="Z78" s="71"/>
      <c r="AA78" s="71"/>
      <c r="AB78" s="71"/>
      <c r="AC78" s="71"/>
      <c r="AD78" s="71"/>
      <c r="AE78" s="71"/>
      <c r="AF78" s="71"/>
      <c r="AG78" s="340"/>
      <c r="AH78" s="340"/>
      <c r="AI78" s="71"/>
      <c r="AJ78" s="71"/>
    </row>
    <row r="79" spans="2:36" ht="15" customHeight="1" x14ac:dyDescent="0.25">
      <c r="B79" s="85" t="s">
        <v>418</v>
      </c>
      <c r="C79" t="s">
        <v>416</v>
      </c>
      <c r="D79" s="66"/>
      <c r="E79" s="281" cm="1">
        <f t="array" ref="E79">IF(_xll.BDP(Hub!$D$4,$B79,"EQY_FUND_RELATIVE_PERIOD",E$9, "EQY_FUND_CRNCY", Hub!$D$8, "FA_ADJUSTED", "ADJ")="#N/A N/A", 0, _xll.BDP(Hub!$D$4,$B79,"EQY_FUND_RELATIVE_PERIOD",E$9, "EQY_FUND_CRNCY", Hub!$D$8, "FA_ADJUSTED", "ADJ"))</f>
        <v>0</v>
      </c>
      <c r="F79" s="281" cm="1">
        <f t="array" ref="F79">IF(_xll.BDP(Hub!$D$4,$B79,"EQY_FUND_RELATIVE_PERIOD",F$9, "EQY_FUND_CRNCY", Hub!$D$8, "FA_ADJUSTED", "ADJ")="#N/A N/A", 0, _xll.BDP(Hub!$D$4,$B79,"EQY_FUND_RELATIVE_PERIOD",F$9, "EQY_FUND_CRNCY", Hub!$D$8, "FA_ADJUSTED", "ADJ"))</f>
        <v>0</v>
      </c>
      <c r="G79" s="281" cm="1">
        <f t="array" ref="G79">IF(_xll.BDP(Hub!$D$4,$B79,"EQY_FUND_RELATIVE_PERIOD",G$9, "EQY_FUND_CRNCY", Hub!$D$8, "FA_ADJUSTED", "ADJ")="#N/A N/A", 0, _xll.BDP(Hub!$D$4,$B79,"EQY_FUND_RELATIVE_PERIOD",G$9, "EQY_FUND_CRNCY", Hub!$D$8, "FA_ADJUSTED", "ADJ"))</f>
        <v>0</v>
      </c>
      <c r="H79" s="281" cm="1">
        <f t="array" ref="H79">IF(_xll.BDP(Hub!$D$4,$B79,"EQY_FUND_RELATIVE_PERIOD",H$9, "EQY_FUND_CRNCY", Hub!$D$8, "FA_ADJUSTED", "ADJ")="#N/A N/A", 0, _xll.BDP(Hub!$D$4,$B79,"EQY_FUND_RELATIVE_PERIOD",H$9, "EQY_FUND_CRNCY", Hub!$D$8, "FA_ADJUSTED", "ADJ"))</f>
        <v>0</v>
      </c>
      <c r="I79" s="281" cm="1">
        <f t="array" ref="I79">IF(_xll.BDP(Hub!$D$4,$B79,"EQY_FUND_RELATIVE_PERIOD",I$9, "EQY_FUND_CRNCY", Hub!$D$8, "FA_ADJUSTED", "ADJ")="#N/A N/A", 0, _xll.BDP(Hub!$D$4,$B79,"EQY_FUND_RELATIVE_PERIOD",I$9, "EQY_FUND_CRNCY", Hub!$D$8, "FA_ADJUSTED", "ADJ"))</f>
        <v>0</v>
      </c>
      <c r="J79" s="258">
        <f ca="1">IFERROR(IF(RSQ($E79:$I79,$E$7:$I$7)&gt;0.5, (SLOPE($E79:$I79,$E$7:$I$7)+I79)*RSQ($E79:$I79,$E$7:$I$7)+(AVERAGE($E79:$I79)*(1-RSQ($E79:$I79,$E$7:$I$7))), AVERAGE($E79:$I79)),0)</f>
        <v>0</v>
      </c>
      <c r="K79" s="258">
        <f t="shared" ref="K79:S79" ca="1" si="253">IFERROR(IF(RSQ($E79:$I79,$E$7:$I$7)&gt;0.5, (SLOPE($E79:$I79,$E$7:$I$7)+J79)*RSQ($E79:$I79,$E$7:$I$7)+(AVERAGE($E79:$I79)*(1-RSQ($E79:$I79,$E$7:$I$7))), AVERAGE($E79:$I79)),0)</f>
        <v>0</v>
      </c>
      <c r="L79" s="258">
        <f t="shared" ca="1" si="253"/>
        <v>0</v>
      </c>
      <c r="M79" s="258">
        <f t="shared" ca="1" si="253"/>
        <v>0</v>
      </c>
      <c r="N79" s="258">
        <f t="shared" ca="1" si="253"/>
        <v>0</v>
      </c>
      <c r="O79" s="258">
        <f t="shared" ca="1" si="253"/>
        <v>0</v>
      </c>
      <c r="P79" s="258">
        <f t="shared" ca="1" si="253"/>
        <v>0</v>
      </c>
      <c r="Q79" s="258">
        <f t="shared" ca="1" si="253"/>
        <v>0</v>
      </c>
      <c r="R79" s="258">
        <f t="shared" ca="1" si="253"/>
        <v>0</v>
      </c>
      <c r="S79" s="258">
        <f t="shared" ca="1" si="253"/>
        <v>0</v>
      </c>
    </row>
    <row r="80" spans="2:36" x14ac:dyDescent="0.25">
      <c r="C80" s="101" t="s">
        <v>417</v>
      </c>
      <c r="D80" s="102"/>
      <c r="E80" s="259">
        <f t="shared" ref="E80:S80" si="254">E71+E75+E79</f>
        <v>0</v>
      </c>
      <c r="F80" s="259">
        <f t="shared" si="254"/>
        <v>0</v>
      </c>
      <c r="G80" s="259">
        <f t="shared" si="254"/>
        <v>0</v>
      </c>
      <c r="H80" s="259">
        <f t="shared" si="254"/>
        <v>0</v>
      </c>
      <c r="I80" s="259">
        <f t="shared" si="254"/>
        <v>0</v>
      </c>
      <c r="J80" s="259">
        <f t="shared" ca="1" si="254"/>
        <v>0</v>
      </c>
      <c r="K80" s="259">
        <f t="shared" ca="1" si="254"/>
        <v>0</v>
      </c>
      <c r="L80" s="259">
        <f t="shared" ca="1" si="254"/>
        <v>0</v>
      </c>
      <c r="M80" s="259">
        <f t="shared" ca="1" si="254"/>
        <v>0</v>
      </c>
      <c r="N80" s="259">
        <f t="shared" ca="1" si="254"/>
        <v>0</v>
      </c>
      <c r="O80" s="259">
        <f t="shared" ca="1" si="254"/>
        <v>0</v>
      </c>
      <c r="P80" s="259">
        <f t="shared" ca="1" si="254"/>
        <v>0</v>
      </c>
      <c r="Q80" s="259">
        <f t="shared" ca="1" si="254"/>
        <v>0</v>
      </c>
      <c r="R80" s="259">
        <f t="shared" ca="1" si="254"/>
        <v>0</v>
      </c>
      <c r="S80" s="259">
        <f t="shared" ca="1" si="254"/>
        <v>0</v>
      </c>
    </row>
    <row r="81" spans="2:36" x14ac:dyDescent="0.25">
      <c r="C81" s="11" t="s">
        <v>84</v>
      </c>
      <c r="D81" s="66"/>
      <c r="E81" s="103" t="s">
        <v>85</v>
      </c>
      <c r="F81" s="103" t="e">
        <f>((F80-E80)/E80)</f>
        <v>#DIV/0!</v>
      </c>
      <c r="G81" s="103" t="e">
        <f t="shared" ref="G81" si="255">((G80-F80)/F80)</f>
        <v>#DIV/0!</v>
      </c>
      <c r="H81" s="103" t="e">
        <f t="shared" ref="H81" si="256">((H80-G80)/G80)</f>
        <v>#DIV/0!</v>
      </c>
      <c r="I81" s="103" t="e">
        <f t="shared" ref="I81" si="257">((I80-H80)/H80)</f>
        <v>#DIV/0!</v>
      </c>
      <c r="J81" s="103" t="e">
        <f t="shared" ref="J81" ca="1" si="258">((J80-I80)/I80)</f>
        <v>#DIV/0!</v>
      </c>
      <c r="K81" s="103" t="e">
        <f t="shared" ref="K81" ca="1" si="259">((K80-J80)/J80)</f>
        <v>#DIV/0!</v>
      </c>
      <c r="L81" s="103" t="e">
        <f t="shared" ref="L81" ca="1" si="260">((L80-K80)/K80)</f>
        <v>#DIV/0!</v>
      </c>
      <c r="M81" s="103" t="e">
        <f t="shared" ref="M81" ca="1" si="261">((M80-L80)/L80)</f>
        <v>#DIV/0!</v>
      </c>
      <c r="N81" s="103" t="e">
        <f t="shared" ref="N81" ca="1" si="262">((N80-M80)/M80)</f>
        <v>#DIV/0!</v>
      </c>
      <c r="O81" s="103" t="e">
        <f t="shared" ref="O81" ca="1" si="263">((O80-N80)/N80)</f>
        <v>#DIV/0!</v>
      </c>
      <c r="P81" s="103" t="e">
        <f t="shared" ref="P81" ca="1" si="264">((P80-O80)/O80)</f>
        <v>#DIV/0!</v>
      </c>
      <c r="Q81" s="103" t="e">
        <f t="shared" ref="Q81" ca="1" si="265">((Q80-P80)/P80)</f>
        <v>#DIV/0!</v>
      </c>
      <c r="R81" s="103" t="e">
        <f t="shared" ref="R81" ca="1" si="266">((R80-Q80)/Q80)</f>
        <v>#DIV/0!</v>
      </c>
      <c r="S81" s="103" t="e">
        <f t="shared" ref="S81" ca="1" si="267">((S80-R80)/R80)</f>
        <v>#DIV/0!</v>
      </c>
    </row>
    <row r="82" spans="2:36" x14ac:dyDescent="0.25">
      <c r="C82" s="11"/>
      <c r="D82" s="66"/>
      <c r="E82" s="103"/>
      <c r="F82" s="103"/>
      <c r="G82" s="103"/>
      <c r="H82" s="103"/>
      <c r="I82" s="103"/>
      <c r="J82" s="103"/>
      <c r="K82" s="103"/>
      <c r="L82" s="103"/>
      <c r="M82" s="103"/>
      <c r="N82" s="103"/>
      <c r="O82" s="103"/>
      <c r="P82" s="103"/>
      <c r="Q82" s="103"/>
      <c r="R82" s="103"/>
      <c r="S82" s="103"/>
      <c r="Z82" s="71"/>
      <c r="AA82" s="71"/>
      <c r="AB82" s="71"/>
      <c r="AC82" s="71"/>
      <c r="AD82" s="71"/>
      <c r="AE82" s="71"/>
      <c r="AF82" s="71"/>
      <c r="AG82" s="340"/>
      <c r="AH82" s="340"/>
      <c r="AI82" s="71"/>
      <c r="AJ82" s="71"/>
    </row>
    <row r="83" spans="2:36" x14ac:dyDescent="0.25">
      <c r="C83" s="11"/>
      <c r="D83" s="66"/>
      <c r="E83" s="103"/>
      <c r="F83" s="103"/>
      <c r="G83" s="103"/>
      <c r="H83" s="103"/>
      <c r="I83" s="103"/>
      <c r="J83" s="103"/>
      <c r="K83" s="103"/>
      <c r="L83" s="103"/>
      <c r="M83" s="103"/>
      <c r="N83" s="103"/>
      <c r="O83" s="103"/>
      <c r="P83" s="103"/>
      <c r="Q83" s="103"/>
      <c r="R83" s="103"/>
      <c r="S83" s="103"/>
    </row>
    <row r="84" spans="2:36" x14ac:dyDescent="0.25">
      <c r="C84" s="10" t="s">
        <v>132</v>
      </c>
      <c r="D84" s="66"/>
      <c r="E84" s="66"/>
      <c r="F84" s="66"/>
      <c r="G84" s="66"/>
      <c r="H84" s="66"/>
      <c r="I84" s="66"/>
      <c r="J84" s="66"/>
      <c r="K84" s="66"/>
      <c r="L84" s="66"/>
      <c r="M84" s="66"/>
      <c r="N84" s="66"/>
      <c r="O84" s="66"/>
      <c r="P84" s="66"/>
      <c r="Q84" s="66"/>
      <c r="R84" s="66"/>
      <c r="S84" s="66"/>
    </row>
    <row r="85" spans="2:36" x14ac:dyDescent="0.25">
      <c r="D85" s="66"/>
      <c r="E85" s="66"/>
      <c r="F85" s="66"/>
      <c r="G85" s="66"/>
      <c r="H85" s="66"/>
      <c r="I85" s="66"/>
      <c r="J85" s="66"/>
      <c r="K85" s="66"/>
      <c r="L85" s="66"/>
      <c r="M85" s="66"/>
      <c r="N85" s="66"/>
      <c r="O85" s="66"/>
      <c r="P85" s="66"/>
      <c r="Q85" s="66"/>
      <c r="R85" s="66"/>
      <c r="S85" s="66"/>
    </row>
    <row r="86" spans="2:36" ht="15" customHeight="1" x14ac:dyDescent="0.25">
      <c r="B86" t="s">
        <v>351</v>
      </c>
      <c r="C86" t="s">
        <v>133</v>
      </c>
      <c r="D86" s="66"/>
      <c r="E86" s="281" cm="1">
        <f t="array" ref="E86">IF(_xll.BDP(Hub!$D$4,$B86,"EQY_FUND_RELATIVE_PERIOD",E$9, "EQY_FUND_CRNCY", Hub!$D$8, "FA_ADJUSTED", "ADJ")="#N/A N/A", 0, _xll.BDP(Hub!$D$4,$B86,"EQY_FUND_RELATIVE_PERIOD",E$9, "EQY_FUND_CRNCY", Hub!$D$8, "FA_ADJUSTED", "ADJ"))</f>
        <v>606.12400000000002</v>
      </c>
      <c r="F86" s="281" cm="1">
        <f t="array" ref="F86">IF(_xll.BDP(Hub!$D$4,$B86,"EQY_FUND_RELATIVE_PERIOD",F$9, "EQY_FUND_CRNCY", Hub!$D$8, "FA_ADJUSTED", "ADJ")="#N/A N/A", 0, _xll.BDP(Hub!$D$4,$B86,"EQY_FUND_RELATIVE_PERIOD",F$9, "EQY_FUND_CRNCY", Hub!$D$8, "FA_ADJUSTED", "ADJ"))</f>
        <v>902</v>
      </c>
      <c r="G86" s="281" cm="1">
        <f t="array" ref="G86">IF(_xll.BDP(Hub!$D$4,$B86,"EQY_FUND_RELATIVE_PERIOD",G$9, "EQY_FUND_CRNCY", Hub!$D$8, "FA_ADJUSTED", "ADJ")="#N/A N/A", 0, _xll.BDP(Hub!$D$4,$B86,"EQY_FUND_RELATIVE_PERIOD",G$9, "EQY_FUND_CRNCY", Hub!$D$8, "FA_ADJUSTED", "ADJ"))</f>
        <v>1782</v>
      </c>
      <c r="H86" s="281" cm="1">
        <f t="array" ref="H86">IF(_xll.BDP(Hub!$D$4,$B86,"EQY_FUND_RELATIVE_PERIOD",H$9, "EQY_FUND_CRNCY", Hub!$D$8, "FA_ADJUSTED", "ADJ")="#N/A N/A", 0, _xll.BDP(Hub!$D$4,$B86,"EQY_FUND_RELATIVE_PERIOD",H$9, "EQY_FUND_CRNCY", Hub!$D$8, "FA_ADJUSTED", "ADJ"))</f>
        <v>2068</v>
      </c>
      <c r="I86" s="281" cm="1">
        <f t="array" ref="I86">IF(_xll.BDP(Hub!$D$4,$B86,"EQY_FUND_RELATIVE_PERIOD",I$9, "EQY_FUND_CRNCY", Hub!$D$8, "FA_ADJUSTED", "ADJ")="#N/A N/A", 0, _xll.BDP(Hub!$D$4,$B86,"EQY_FUND_RELATIVE_PERIOD",I$9, "EQY_FUND_CRNCY", Hub!$D$8, "FA_ADJUSTED", "ADJ"))</f>
        <v>2012</v>
      </c>
      <c r="J86" s="302">
        <f ca="1">IF(SUM(E86:I86)=0,0,IF(RSQ(Historicals!D43:H43,Historicals!D$8:H$8)&gt;0.5,(((SLOPE(Historicals!D43:H43,Historicals!D$8:H$8)*Operating_Model!J$42*RSQ(Historicals!D43:H43,Historicals!D$8:H$8)+Operating_Model!I86)+(1-RSQ(Historicals!D43:H43,Historicals!D$8:H$8))*AVERAGE(Historicals!D43:H43))),AVERAGE(Historicals!D43:H43)*Operating_Model!J$42))</f>
        <v>1779.3480525121183</v>
      </c>
      <c r="K86" s="258">
        <f ca="1">J86*(1+DCF!$D$12)</f>
        <v>1818.2754548352639</v>
      </c>
      <c r="L86" s="258">
        <f ca="1">K86*(1+DCF!$D$12)</f>
        <v>1858.0544851743498</v>
      </c>
      <c r="M86" s="258">
        <f ca="1">L86*(1+DCF!$D$12)</f>
        <v>1898.7037748850341</v>
      </c>
      <c r="N86" s="258">
        <f ca="1">M86*(1+DCF!$D$12)</f>
        <v>1940.2423629274776</v>
      </c>
      <c r="O86" s="258">
        <f ca="1">N86*(1+DCF!$D$12)</f>
        <v>1982.6897047836455</v>
      </c>
      <c r="P86" s="258">
        <f ca="1">O86*(1+DCF!$D$12)</f>
        <v>2026.0656815696971</v>
      </c>
      <c r="Q86" s="258">
        <f ca="1">P86*(1+DCF!$D$12)</f>
        <v>2070.3906093477294</v>
      </c>
      <c r="R86" s="258">
        <f ca="1">Q86*(1+DCF!$D$12)</f>
        <v>2115.6852486412372</v>
      </c>
      <c r="S86" s="258">
        <f ca="1">R86*(1+DCF!$D$12)</f>
        <v>2161.9708141587462</v>
      </c>
    </row>
    <row r="87" spans="2:36" x14ac:dyDescent="0.25">
      <c r="C87" s="11" t="s">
        <v>84</v>
      </c>
      <c r="D87" s="66"/>
      <c r="E87" s="103" t="s">
        <v>85</v>
      </c>
      <c r="F87" s="103">
        <f>((F86-E86)/E86)</f>
        <v>0.48814434010202529</v>
      </c>
      <c r="G87" s="103">
        <f t="shared" ref="G87" si="268">((G86-F86)/F86)</f>
        <v>0.97560975609756095</v>
      </c>
      <c r="H87" s="103">
        <f t="shared" ref="H87" si="269">((H86-G86)/G86)</f>
        <v>0.16049382716049382</v>
      </c>
      <c r="I87" s="103">
        <f t="shared" ref="I87" si="270">((I86-H86)/H86)</f>
        <v>-2.7079303675048357E-2</v>
      </c>
      <c r="J87" s="303">
        <f t="shared" ref="J87" ca="1" si="271">((J86-I86)/I86)</f>
        <v>-0.11563218065998095</v>
      </c>
      <c r="K87" s="103">
        <f t="shared" ref="K87" ca="1" si="272">((K86-J86)/J86)</f>
        <v>2.1877340000000044E-2</v>
      </c>
      <c r="L87" s="103">
        <f t="shared" ref="L87" ca="1" si="273">((L86-K86)/K86)</f>
        <v>2.1877340000000117E-2</v>
      </c>
      <c r="M87" s="103">
        <f t="shared" ref="M87" ca="1" si="274">((M86-L86)/L86)</f>
        <v>2.1877340000000071E-2</v>
      </c>
      <c r="N87" s="103">
        <f ca="1">((N86-M86)/M86)</f>
        <v>2.1877340000000082E-2</v>
      </c>
      <c r="O87" s="103">
        <f t="shared" ref="O87:S87" ca="1" si="275">((O86-N86)/N86)</f>
        <v>2.1877340000000037E-2</v>
      </c>
      <c r="P87" s="103">
        <f t="shared" ca="1" si="275"/>
        <v>2.1877340000000044E-2</v>
      </c>
      <c r="Q87" s="103">
        <f t="shared" ca="1" si="275"/>
        <v>2.1877340000000179E-2</v>
      </c>
      <c r="R87" s="103">
        <f t="shared" ca="1" si="275"/>
        <v>2.1877340000000151E-2</v>
      </c>
      <c r="S87" s="103">
        <f t="shared" ca="1" si="275"/>
        <v>2.1877340000000047E-2</v>
      </c>
    </row>
    <row r="88" spans="2:36" x14ac:dyDescent="0.25">
      <c r="C88" s="11"/>
      <c r="D88" s="66"/>
      <c r="E88" s="103"/>
      <c r="F88" s="103"/>
      <c r="G88" s="103"/>
      <c r="H88" s="103"/>
      <c r="I88" s="103"/>
      <c r="J88" s="303"/>
      <c r="K88" s="103"/>
      <c r="L88" s="103"/>
      <c r="M88" s="103"/>
      <c r="N88" s="103"/>
      <c r="O88" s="103"/>
      <c r="P88" s="103"/>
      <c r="Q88" s="103"/>
      <c r="R88" s="103"/>
      <c r="S88" s="103"/>
    </row>
    <row r="89" spans="2:36" x14ac:dyDescent="0.25">
      <c r="B89" t="s">
        <v>371</v>
      </c>
      <c r="C89" s="85" t="s">
        <v>348</v>
      </c>
      <c r="D89" s="66"/>
      <c r="E89" s="281" cm="1">
        <f t="array" ref="E89">IF(_xll.BDP(Hub!$D$4,$B89,"EQY_FUND_RELATIVE_PERIOD",E$9, "EQY_FUND_CRNCY", Hub!$D$8, "FA_ADJUSTED", "ADJ")="#N/A N/A", 0, _xll.BDP(Hub!$D$4,$B89,"EQY_FUND_RELATIVE_PERIOD",E$9, "EQY_FUND_CRNCY", Hub!$D$8, "FA_ADJUSTED", "ADJ"))</f>
        <v>0</v>
      </c>
      <c r="F89" s="281" cm="1">
        <f t="array" ref="F89">IF(_xll.BDP(Hub!$D$4,$B89,"EQY_FUND_RELATIVE_PERIOD",F$9, "EQY_FUND_CRNCY", Hub!$D$8, "FA_ADJUSTED", "ADJ")="#N/A N/A", 0, _xll.BDP(Hub!$D$4,$B89,"EQY_FUND_RELATIVE_PERIOD",F$9, "EQY_FUND_CRNCY", Hub!$D$8, "FA_ADJUSTED", "ADJ"))</f>
        <v>0</v>
      </c>
      <c r="G89" s="281" cm="1">
        <f t="array" ref="G89">IF(_xll.BDP(Hub!$D$4,$B89,"EQY_FUND_RELATIVE_PERIOD",G$9, "EQY_FUND_CRNCY", Hub!$D$8, "FA_ADJUSTED", "ADJ")="#N/A N/A", 0, _xll.BDP(Hub!$D$4,$B89,"EQY_FUND_RELATIVE_PERIOD",G$9, "EQY_FUND_CRNCY", Hub!$D$8, "FA_ADJUSTED", "ADJ"))</f>
        <v>0</v>
      </c>
      <c r="H89" s="281" cm="1">
        <f t="array" ref="H89">IF(_xll.BDP(Hub!$D$4,$B89,"EQY_FUND_RELATIVE_PERIOD",H$9, "EQY_FUND_CRNCY", Hub!$D$8, "FA_ADJUSTED", "ADJ")="#N/A N/A", 0, _xll.BDP(Hub!$D$4,$B89,"EQY_FUND_RELATIVE_PERIOD",H$9, "EQY_FUND_CRNCY", Hub!$D$8, "FA_ADJUSTED", "ADJ"))</f>
        <v>0</v>
      </c>
      <c r="I89" s="281" cm="1">
        <f t="array" ref="I89">IF(_xll.BDP(Hub!$D$4,$B89,"EQY_FUND_RELATIVE_PERIOD",I$9, "EQY_FUND_CRNCY", Hub!$D$8, "FA_ADJUSTED", "ADJ")="#N/A N/A", 0, _xll.BDP(Hub!$D$4,$B89,"EQY_FUND_RELATIVE_PERIOD",I$9, "EQY_FUND_CRNCY", Hub!$D$8, "FA_ADJUSTED", "ADJ"))</f>
        <v>0</v>
      </c>
      <c r="J89" s="304">
        <f>IF(SUM(E89:I89)=0, 0,IF(RSQ(Historicals!D44:H44,Historicals!D$8:H$8)&gt;0.5, (((SLOPE(Historicals!D44:H44,Historicals!D$8:H$8)*Operating_Model!J$42*RSQ(Historicals!D44:H44,Historicals!D$8:H$8)+Operating_Model!I89)+(1-RSQ(Historicals!D44:H44,Historicals!D$8:H$8))*AVERAGE(Historicals!D44:H44))), AVERAGE(Historicals!D44:H44)*Operating_Model!J$42))</f>
        <v>0</v>
      </c>
      <c r="K89" s="258">
        <f>J89*(1+DCF!$D$12)</f>
        <v>0</v>
      </c>
      <c r="L89" s="258">
        <f>K89*(1+DCF!$D$12)</f>
        <v>0</v>
      </c>
      <c r="M89" s="258">
        <f>L89*(1+DCF!$D$12)</f>
        <v>0</v>
      </c>
      <c r="N89" s="258">
        <f>M89*(1+DCF!$D$12)</f>
        <v>0</v>
      </c>
      <c r="O89" s="258">
        <f>N89*(1+DCF!$D$12)</f>
        <v>0</v>
      </c>
      <c r="P89" s="258">
        <f>O89*(1+DCF!$D$12)</f>
        <v>0</v>
      </c>
      <c r="Q89" s="258">
        <f>P89*(1+DCF!$D$12)</f>
        <v>0</v>
      </c>
      <c r="R89" s="258">
        <f>Q89*(1+DCF!$D$12)</f>
        <v>0</v>
      </c>
      <c r="S89" s="258">
        <f>R89*(1+DCF!$D$12)</f>
        <v>0</v>
      </c>
    </row>
    <row r="90" spans="2:36" x14ac:dyDescent="0.25">
      <c r="C90" s="11" t="s">
        <v>84</v>
      </c>
      <c r="D90" s="66"/>
      <c r="E90" s="103" t="s">
        <v>85</v>
      </c>
      <c r="F90" s="103" t="e">
        <f>((F89-E89)/E89)</f>
        <v>#DIV/0!</v>
      </c>
      <c r="G90" s="103" t="e">
        <f t="shared" ref="G90" si="276">((G89-F89)/F89)</f>
        <v>#DIV/0!</v>
      </c>
      <c r="H90" s="103" t="e">
        <f t="shared" ref="H90" si="277">((H89-G89)/G89)</f>
        <v>#DIV/0!</v>
      </c>
      <c r="I90" s="103" t="e">
        <f t="shared" ref="I90" si="278">((I89-H89)/H89)</f>
        <v>#DIV/0!</v>
      </c>
      <c r="J90" s="303" t="e">
        <f t="shared" ref="J90" si="279">((J89-I89)/I89)</f>
        <v>#DIV/0!</v>
      </c>
      <c r="K90" s="103" t="e">
        <f t="shared" ref="K90" si="280">((K89-J89)/J89)</f>
        <v>#DIV/0!</v>
      </c>
      <c r="L90" s="103" t="e">
        <f t="shared" ref="L90" si="281">((L89-K89)/K89)</f>
        <v>#DIV/0!</v>
      </c>
      <c r="M90" s="103" t="e">
        <f t="shared" ref="M90" si="282">((M89-L89)/L89)</f>
        <v>#DIV/0!</v>
      </c>
      <c r="N90" s="103" t="e">
        <f t="shared" ref="N90" si="283">((N89-M89)/M89)</f>
        <v>#DIV/0!</v>
      </c>
      <c r="O90" s="103" t="e">
        <f t="shared" ref="O90" si="284">((O89-N89)/N89)</f>
        <v>#DIV/0!</v>
      </c>
      <c r="P90" s="103" t="e">
        <f t="shared" ref="P90" si="285">((P89-O89)/O89)</f>
        <v>#DIV/0!</v>
      </c>
      <c r="Q90" s="103" t="e">
        <f t="shared" ref="Q90" si="286">((Q89-P89)/P89)</f>
        <v>#DIV/0!</v>
      </c>
      <c r="R90" s="103" t="e">
        <f t="shared" ref="R90" si="287">((R89-Q89)/Q89)</f>
        <v>#DIV/0!</v>
      </c>
      <c r="S90" s="103" t="e">
        <f t="shared" ref="S90" si="288">((S89-R89)/R89)</f>
        <v>#DIV/0!</v>
      </c>
    </row>
    <row r="91" spans="2:36" x14ac:dyDescent="0.25">
      <c r="C91" s="11"/>
      <c r="D91" s="66"/>
      <c r="E91" s="103"/>
      <c r="F91" s="103"/>
      <c r="G91" s="103"/>
      <c r="H91" s="103"/>
      <c r="I91" s="103"/>
      <c r="J91" s="103"/>
      <c r="K91" s="103"/>
      <c r="L91" s="103"/>
      <c r="M91" s="103"/>
      <c r="N91" s="103"/>
      <c r="O91" s="103"/>
      <c r="P91" s="103"/>
      <c r="Q91" s="103"/>
      <c r="R91" s="103"/>
      <c r="S91" s="103"/>
    </row>
    <row r="92" spans="2:36" ht="15" customHeight="1" x14ac:dyDescent="0.25">
      <c r="B92" s="85" t="s">
        <v>372</v>
      </c>
      <c r="C92" t="s">
        <v>134</v>
      </c>
      <c r="D92" s="66"/>
      <c r="E92" s="281" cm="1">
        <f t="array" ref="E92">IF(_xll.BDP(Hub!$D$4,$B92,"EQY_FUND_RELATIVE_PERIOD",E$9, "EQY_FUND_CRNCY", Hub!$D$8, "FA_ADJUSTED", "ADJ")="#N/A N/A", 0, _xll.BDP(Hub!$D$4,$B92,"EQY_FUND_RELATIVE_PERIOD",E$9, "EQY_FUND_CRNCY", Hub!$D$8, "FA_ADJUSTED", "ADJ"))</f>
        <v>68.436999999999998</v>
      </c>
      <c r="F92" s="281" cm="1">
        <f t="array" ref="F92">IF(_xll.BDP(Hub!$D$4,$B92,"EQY_FUND_RELATIVE_PERIOD",F$9, "EQY_FUND_CRNCY", Hub!$D$8, "FA_ADJUSTED", "ADJ")="#N/A N/A", 0, _xll.BDP(Hub!$D$4,$B92,"EQY_FUND_RELATIVE_PERIOD",F$9, "EQY_FUND_CRNCY", Hub!$D$8, "FA_ADJUSTED", "ADJ"))</f>
        <v>-75</v>
      </c>
      <c r="G92" s="281" cm="1">
        <f t="array" ref="G92">IF(_xll.BDP(Hub!$D$4,$B92,"EQY_FUND_RELATIVE_PERIOD",G$9, "EQY_FUND_CRNCY", Hub!$D$8, "FA_ADJUSTED", "ADJ")="#N/A N/A", 0, _xll.BDP(Hub!$D$4,$B92,"EQY_FUND_RELATIVE_PERIOD",G$9, "EQY_FUND_CRNCY", Hub!$D$8, "FA_ADJUSTED", "ADJ"))</f>
        <v>165</v>
      </c>
      <c r="H92" s="281" cm="1">
        <f t="array" ref="H92">IF(_xll.BDP(Hub!$D$4,$B92,"EQY_FUND_RELATIVE_PERIOD",H$9, "EQY_FUND_CRNCY", Hub!$D$8, "FA_ADJUSTED", "ADJ")="#N/A N/A", 0, _xll.BDP(Hub!$D$4,$B92,"EQY_FUND_RELATIVE_PERIOD",H$9, "EQY_FUND_CRNCY", Hub!$D$8, "FA_ADJUSTED", "ADJ"))</f>
        <v>286</v>
      </c>
      <c r="I92" s="281" cm="1">
        <f t="array" ref="I92">IF(_xll.BDP(Hub!$D$4,$B92,"EQY_FUND_RELATIVE_PERIOD",I$9, "EQY_FUND_CRNCY", Hub!$D$8, "FA_ADJUSTED", "ADJ")="#N/A N/A", 0, _xll.BDP(Hub!$D$4,$B92,"EQY_FUND_RELATIVE_PERIOD",I$9, "EQY_FUND_CRNCY", Hub!$D$8, "FA_ADJUSTED", "ADJ"))</f>
        <v>306</v>
      </c>
      <c r="J92" s="258">
        <f>(AVERAGE(Historicals!D45:H45)*J$42*(1+DCF!$D$12))</f>
        <v>249.01136077880756</v>
      </c>
      <c r="K92" s="258">
        <f>J92*(1+DCF!$D$12)</f>
        <v>254.45906698242823</v>
      </c>
      <c r="L92" s="258">
        <f>K92*(1+DCF!$D$12)</f>
        <v>260.02595450688563</v>
      </c>
      <c r="M92" s="258">
        <f>L92*(1+DCF!$D$12)</f>
        <v>265.71463072245734</v>
      </c>
      <c r="N92" s="258">
        <f>M92*(1+DCF!$D$12)</f>
        <v>271.527760041747</v>
      </c>
      <c r="O92" s="258">
        <f>N92*(1+DCF!$D$12)</f>
        <v>277.46806516761876</v>
      </c>
      <c r="P92" s="258">
        <f>O92*(1+DCF!$D$12)</f>
        <v>283.53832836843293</v>
      </c>
      <c r="Q92" s="258">
        <f>P92*(1+DCF!$D$12)</f>
        <v>289.74139278118082</v>
      </c>
      <c r="R92" s="258">
        <f>Q92*(1+DCF!$D$12)</f>
        <v>296.08016374312831</v>
      </c>
      <c r="S92" s="258">
        <f>R92*(1+DCF!$D$12)</f>
        <v>302.55761015259242</v>
      </c>
    </row>
    <row r="93" spans="2:36" x14ac:dyDescent="0.25">
      <c r="C93" s="11" t="s">
        <v>84</v>
      </c>
      <c r="D93" s="66"/>
      <c r="E93" s="103" t="s">
        <v>85</v>
      </c>
      <c r="F93" s="103">
        <f>((F92-E92)/E92)</f>
        <v>-2.0958984175226854</v>
      </c>
      <c r="G93" s="103">
        <f t="shared" ref="G93" si="289">((G92-F92)/F92)</f>
        <v>-3.2</v>
      </c>
      <c r="H93" s="103">
        <f t="shared" ref="H93" si="290">((H92-G92)/G92)</f>
        <v>0.73333333333333328</v>
      </c>
      <c r="I93" s="103">
        <f t="shared" ref="I93" si="291">((I92-H92)/H92)</f>
        <v>6.9930069930069935E-2</v>
      </c>
      <c r="J93" s="103">
        <f t="shared" ref="J93" si="292">((J92-I92)/I92)</f>
        <v>-0.1862373830757923</v>
      </c>
      <c r="K93" s="103">
        <f t="shared" ref="K93" si="293">((K92-J92)/J92)</f>
        <v>2.1877340000000127E-2</v>
      </c>
      <c r="L93" s="103">
        <f t="shared" ref="L93" si="294">((L92-K92)/K92)</f>
        <v>2.1877340000000169E-2</v>
      </c>
      <c r="M93" s="103">
        <f t="shared" ref="M93" si="295">((M92-L92)/L92)</f>
        <v>2.1877340000000186E-2</v>
      </c>
      <c r="N93" s="103">
        <f>((N92-M92)/M92)</f>
        <v>2.1877340000000047E-2</v>
      </c>
      <c r="O93" s="103">
        <f t="shared" ref="O93:S93" si="296">((O92-N92)/N92)</f>
        <v>2.1877340000000172E-2</v>
      </c>
      <c r="P93" s="103">
        <f t="shared" si="296"/>
        <v>2.1877340000000054E-2</v>
      </c>
      <c r="Q93" s="103">
        <f t="shared" si="296"/>
        <v>2.1877340000000141E-2</v>
      </c>
      <c r="R93" s="103">
        <f t="shared" si="296"/>
        <v>2.1877340000000176E-2</v>
      </c>
      <c r="S93" s="103">
        <f t="shared" si="296"/>
        <v>2.1877340000000058E-2</v>
      </c>
    </row>
    <row r="94" spans="2:36" x14ac:dyDescent="0.25">
      <c r="C94" s="11"/>
      <c r="D94" s="66"/>
      <c r="E94" s="103"/>
      <c r="F94" s="103"/>
      <c r="G94" s="103"/>
      <c r="H94" s="103"/>
      <c r="I94" s="103"/>
      <c r="J94" s="103"/>
      <c r="K94" s="103"/>
      <c r="L94" s="103"/>
      <c r="M94" s="103"/>
      <c r="N94" s="103"/>
      <c r="O94" s="103"/>
      <c r="P94" s="103"/>
      <c r="Q94" s="103"/>
      <c r="R94" s="103"/>
      <c r="S94" s="103"/>
    </row>
    <row r="95" spans="2:36" x14ac:dyDescent="0.25">
      <c r="B95" t="s">
        <v>459</v>
      </c>
      <c r="C95" t="s">
        <v>458</v>
      </c>
      <c r="D95" s="66"/>
      <c r="E95" s="281" cm="1">
        <f t="array" ref="E95">IF(_xll.BDP(Hub!$D$4,$B95,"EQY_FUND_RELATIVE_PERIOD",E$9, "EQY_FUND_CRNCY", Hub!$D$8, "FA_ADJUSTED", "ADJ")="#N/A N/A", 0, _xll.BDP(Hub!$D$4,$B95,"EQY_FUND_RELATIVE_PERIOD",E$9, "EQY_FUND_CRNCY", Hub!$D$8, "FA_ADJUSTED", "ADJ"))</f>
        <v>221.52500000000001</v>
      </c>
      <c r="F95" s="281" cm="1">
        <f t="array" ref="F95">IF(_xll.BDP(Hub!$D$4,$B95,"EQY_FUND_RELATIVE_PERIOD",F$9, "EQY_FUND_CRNCY", Hub!$D$8, "FA_ADJUSTED", "ADJ")="#N/A N/A", 0, _xll.BDP(Hub!$D$4,$B95,"EQY_FUND_RELATIVE_PERIOD",F$9, "EQY_FUND_CRNCY", Hub!$D$8, "FA_ADJUSTED", "ADJ"))</f>
        <v>583</v>
      </c>
      <c r="G95" s="281" cm="1">
        <f t="array" ref="G95">IF(_xll.BDP(Hub!$D$4,$B95,"EQY_FUND_RELATIVE_PERIOD",G$9, "EQY_FUND_CRNCY", Hub!$D$8, "FA_ADJUSTED", "ADJ")="#N/A N/A", 0, _xll.BDP(Hub!$D$4,$B95,"EQY_FUND_RELATIVE_PERIOD",G$9, "EQY_FUND_CRNCY", Hub!$D$8, "FA_ADJUSTED", "ADJ"))</f>
        <v>1126</v>
      </c>
      <c r="H95" s="281" cm="1">
        <f t="array" ref="H95">IF(_xll.BDP(Hub!$D$4,$B95,"EQY_FUND_RELATIVE_PERIOD",H$9, "EQY_FUND_CRNCY", Hub!$D$8, "FA_ADJUSTED", "ADJ")="#N/A N/A", 0, _xll.BDP(Hub!$D$4,$B95,"EQY_FUND_RELATIVE_PERIOD",H$9, "EQY_FUND_CRNCY", Hub!$D$8, "FA_ADJUSTED", "ADJ"))</f>
        <v>1205</v>
      </c>
      <c r="I95" s="281" cm="1">
        <f t="array" ref="I95">IF(_xll.BDP(Hub!$D$4,$B95,"EQY_FUND_RELATIVE_PERIOD",I$9, "EQY_FUND_CRNCY", Hub!$D$8, "FA_ADJUSTED", "ADJ")="#N/A N/A", 0, _xll.BDP(Hub!$D$4,$B95,"EQY_FUND_RELATIVE_PERIOD",I$9, "EQY_FUND_CRNCY", Hub!$D$8, "FA_ADJUSTED", "ADJ"))</f>
        <v>1261</v>
      </c>
      <c r="J95" s="344" t="e">
        <f ca="1">IF(SUM($E95:I$95)=0, 0, J110)</f>
        <v>#DIV/0!</v>
      </c>
      <c r="K95" s="344" t="e">
        <f ca="1">IF(SUM($E95:J$95)=0, 0, K110)</f>
        <v>#DIV/0!</v>
      </c>
      <c r="L95" s="344" t="e">
        <f ca="1">IF(SUM($E95:K$95)=0, 0, L110)</f>
        <v>#DIV/0!</v>
      </c>
      <c r="M95" s="344" t="e">
        <f ca="1">IF(SUM($E95:L$95)=0, 0, M110)</f>
        <v>#DIV/0!</v>
      </c>
      <c r="N95" s="344" t="e">
        <f ca="1">IF(SUM($E95:M$95)=0, 0, N110)</f>
        <v>#DIV/0!</v>
      </c>
      <c r="O95" s="344" t="e">
        <f ca="1">IF(SUM($E95:N$95)=0, 0, O110)</f>
        <v>#DIV/0!</v>
      </c>
      <c r="P95" s="344" t="e">
        <f ca="1">IF(SUM($E95:O$95)=0, 0, P110)</f>
        <v>#DIV/0!</v>
      </c>
      <c r="Q95" s="344" t="e">
        <f ca="1">IF(SUM($E95:P$95)=0, 0, Q110)</f>
        <v>#DIV/0!</v>
      </c>
      <c r="R95" s="344" t="e">
        <f ca="1">IF(SUM($E95:Q$95)=0, 0, R110)</f>
        <v>#DIV/0!</v>
      </c>
      <c r="S95" s="344" t="e">
        <f ca="1">IF(SUM($E95:R$95)=0, 0, S110)</f>
        <v>#DIV/0!</v>
      </c>
    </row>
    <row r="96" spans="2:36" x14ac:dyDescent="0.25">
      <c r="C96" s="11" t="s">
        <v>84</v>
      </c>
      <c r="D96" s="66"/>
      <c r="E96" s="103" t="s">
        <v>85</v>
      </c>
      <c r="F96" s="103">
        <f>((F95-E95)/E95)</f>
        <v>1.6317571380205396</v>
      </c>
      <c r="G96" s="103">
        <f t="shared" ref="G96" si="297">((G95-F95)/F95)</f>
        <v>0.93138936535162953</v>
      </c>
      <c r="H96" s="103">
        <f t="shared" ref="H96" si="298">((H95-G95)/G95)</f>
        <v>7.0159857904085257E-2</v>
      </c>
      <c r="I96" s="103">
        <f t="shared" ref="I96" si="299">((I95-H95)/H95)</f>
        <v>4.6473029045643155E-2</v>
      </c>
      <c r="J96" s="103" t="e">
        <f t="shared" ref="J96" ca="1" si="300">((J95-I95)/I95)</f>
        <v>#DIV/0!</v>
      </c>
      <c r="K96" s="103" t="e">
        <f t="shared" ref="K96" ca="1" si="301">((K95-J95)/J95)</f>
        <v>#DIV/0!</v>
      </c>
      <c r="L96" s="103" t="e">
        <f t="shared" ref="L96" ca="1" si="302">((L95-K95)/K95)</f>
        <v>#DIV/0!</v>
      </c>
      <c r="M96" s="103" t="e">
        <f t="shared" ref="M96" ca="1" si="303">((M95-L95)/L95)</f>
        <v>#DIV/0!</v>
      </c>
      <c r="N96" s="103" t="e">
        <f ca="1">((N95-M95)/M95)</f>
        <v>#DIV/0!</v>
      </c>
      <c r="O96" s="103" t="e">
        <f t="shared" ref="O96" ca="1" si="304">((O95-N95)/N95)</f>
        <v>#DIV/0!</v>
      </c>
      <c r="P96" s="103" t="e">
        <f t="shared" ref="P96" ca="1" si="305">((P95-O95)/O95)</f>
        <v>#DIV/0!</v>
      </c>
      <c r="Q96" s="103" t="e">
        <f t="shared" ref="Q96" ca="1" si="306">((Q95-P95)/P95)</f>
        <v>#DIV/0!</v>
      </c>
      <c r="R96" s="103" t="e">
        <f t="shared" ref="R96" ca="1" si="307">((R95-Q95)/Q95)</f>
        <v>#DIV/0!</v>
      </c>
      <c r="S96" s="103" t="e">
        <f t="shared" ref="S96" ca="1" si="308">((S95-R95)/R95)</f>
        <v>#DIV/0!</v>
      </c>
    </row>
    <row r="97" spans="2:36" x14ac:dyDescent="0.25">
      <c r="D97" s="66"/>
      <c r="E97" s="103"/>
      <c r="F97" s="103"/>
      <c r="G97" s="103"/>
      <c r="H97" s="103"/>
      <c r="I97" s="103"/>
      <c r="J97" s="103"/>
      <c r="K97" s="103"/>
      <c r="L97" s="103"/>
      <c r="M97" s="103"/>
      <c r="N97" s="103"/>
      <c r="O97" s="103"/>
      <c r="P97" s="103"/>
      <c r="Q97" s="103"/>
      <c r="R97" s="103"/>
      <c r="S97" s="103"/>
    </row>
    <row r="98" spans="2:36" x14ac:dyDescent="0.25">
      <c r="C98" s="101" t="s">
        <v>132</v>
      </c>
      <c r="D98" s="102"/>
      <c r="E98" s="259">
        <f>E86+E89+E92+E95</f>
        <v>896.08600000000001</v>
      </c>
      <c r="F98" s="259">
        <f t="shared" ref="F98:S98" si="309">F86+F89+F92+F95</f>
        <v>1410</v>
      </c>
      <c r="G98" s="259">
        <f t="shared" si="309"/>
        <v>3073</v>
      </c>
      <c r="H98" s="259">
        <f t="shared" si="309"/>
        <v>3559</v>
      </c>
      <c r="I98" s="259">
        <f t="shared" si="309"/>
        <v>3579</v>
      </c>
      <c r="J98" s="259" t="e">
        <f t="shared" ca="1" si="309"/>
        <v>#DIV/0!</v>
      </c>
      <c r="K98" s="259" t="e">
        <f t="shared" ca="1" si="309"/>
        <v>#DIV/0!</v>
      </c>
      <c r="L98" s="259" t="e">
        <f t="shared" ca="1" si="309"/>
        <v>#DIV/0!</v>
      </c>
      <c r="M98" s="259" t="e">
        <f t="shared" ca="1" si="309"/>
        <v>#DIV/0!</v>
      </c>
      <c r="N98" s="259" t="e">
        <f t="shared" ca="1" si="309"/>
        <v>#DIV/0!</v>
      </c>
      <c r="O98" s="259" t="e">
        <f t="shared" ca="1" si="309"/>
        <v>#DIV/0!</v>
      </c>
      <c r="P98" s="259" t="e">
        <f t="shared" ca="1" si="309"/>
        <v>#DIV/0!</v>
      </c>
      <c r="Q98" s="259" t="e">
        <f t="shared" ca="1" si="309"/>
        <v>#DIV/0!</v>
      </c>
      <c r="R98" s="259" t="e">
        <f t="shared" ca="1" si="309"/>
        <v>#DIV/0!</v>
      </c>
      <c r="S98" s="259" t="e">
        <f t="shared" ca="1" si="309"/>
        <v>#DIV/0!</v>
      </c>
    </row>
    <row r="99" spans="2:36" x14ac:dyDescent="0.25">
      <c r="C99" s="11" t="s">
        <v>84</v>
      </c>
      <c r="D99" s="66"/>
      <c r="E99" s="103" t="s">
        <v>85</v>
      </c>
      <c r="F99" s="103">
        <f>((F98-E98)/E98)</f>
        <v>0.57350968545429792</v>
      </c>
      <c r="G99" s="103">
        <f t="shared" ref="G99" si="310">((G98-F98)/F98)</f>
        <v>1.1794326241134752</v>
      </c>
      <c r="H99" s="103">
        <f t="shared" ref="H99" si="311">((H98-G98)/G98)</f>
        <v>0.15815164334526521</v>
      </c>
      <c r="I99" s="103">
        <f t="shared" ref="I99" si="312">((I98-H98)/H98)</f>
        <v>5.619556055071649E-3</v>
      </c>
      <c r="J99" s="103" t="e">
        <f t="shared" ref="J99" ca="1" si="313">((J98-I98)/I98)</f>
        <v>#DIV/0!</v>
      </c>
      <c r="K99" s="103" t="e">
        <f t="shared" ref="K99" ca="1" si="314">((K98-J98)/J98)</f>
        <v>#DIV/0!</v>
      </c>
      <c r="L99" s="103" t="e">
        <f t="shared" ref="L99" ca="1" si="315">((L98-K98)/K98)</f>
        <v>#DIV/0!</v>
      </c>
      <c r="M99" s="103" t="e">
        <f t="shared" ref="M99" ca="1" si="316">((M98-L98)/L98)</f>
        <v>#DIV/0!</v>
      </c>
      <c r="N99" s="103" t="e">
        <f t="shared" ref="N99" ca="1" si="317">((N98-M98)/M98)</f>
        <v>#DIV/0!</v>
      </c>
      <c r="O99" s="103" t="e">
        <f t="shared" ref="O99" ca="1" si="318">((O98-N98)/N98)</f>
        <v>#DIV/0!</v>
      </c>
      <c r="P99" s="103" t="e">
        <f t="shared" ref="P99" ca="1" si="319">((P98-O98)/O98)</f>
        <v>#DIV/0!</v>
      </c>
      <c r="Q99" s="103" t="e">
        <f t="shared" ref="Q99" ca="1" si="320">((Q98-P98)/P98)</f>
        <v>#DIV/0!</v>
      </c>
      <c r="R99" s="103" t="e">
        <f t="shared" ref="R99" ca="1" si="321">((R98-Q98)/Q98)</f>
        <v>#DIV/0!</v>
      </c>
      <c r="S99" s="103" t="e">
        <f t="shared" ref="S99" ca="1" si="322">((S98-R98)/R98)</f>
        <v>#DIV/0!</v>
      </c>
    </row>
    <row r="100" spans="2:36" x14ac:dyDescent="0.25">
      <c r="C100" s="11"/>
      <c r="D100" s="66"/>
      <c r="E100" s="103"/>
      <c r="F100" s="103"/>
      <c r="G100" s="103"/>
      <c r="H100" s="103"/>
      <c r="I100" s="103"/>
      <c r="J100" s="103"/>
      <c r="K100" s="103"/>
      <c r="L100" s="103"/>
      <c r="M100" s="103"/>
      <c r="N100" s="103"/>
      <c r="O100" s="103"/>
      <c r="P100" s="103"/>
      <c r="Q100" s="103"/>
      <c r="R100" s="103"/>
      <c r="S100" s="103"/>
    </row>
    <row r="101" spans="2:36" x14ac:dyDescent="0.25">
      <c r="C101" s="11"/>
      <c r="D101" s="66"/>
      <c r="E101" s="103"/>
      <c r="F101" s="103"/>
      <c r="G101" s="103"/>
      <c r="H101" s="103"/>
      <c r="I101" s="103"/>
      <c r="J101" s="103"/>
      <c r="K101" s="103"/>
      <c r="L101" s="103"/>
      <c r="M101" s="103"/>
      <c r="N101" s="103"/>
      <c r="O101" s="103"/>
      <c r="P101" s="103"/>
      <c r="Q101" s="103"/>
      <c r="R101" s="103"/>
      <c r="S101" s="103"/>
    </row>
    <row r="102" spans="2:36" x14ac:dyDescent="0.25">
      <c r="C102" s="101" t="s">
        <v>140</v>
      </c>
      <c r="D102" s="102"/>
      <c r="E102" s="259">
        <f t="shared" ref="E102:S102" si="323">E73+E80-E98</f>
        <v>1585.9759999999999</v>
      </c>
      <c r="F102" s="259">
        <f t="shared" si="323"/>
        <v>2078</v>
      </c>
      <c r="G102" s="259">
        <f t="shared" si="323"/>
        <v>6124</v>
      </c>
      <c r="H102" s="259">
        <f t="shared" si="323"/>
        <v>6851</v>
      </c>
      <c r="I102" s="259">
        <f t="shared" si="323"/>
        <v>7515</v>
      </c>
      <c r="J102" s="259" t="e">
        <f t="shared" ca="1" si="323"/>
        <v>#DIV/0!</v>
      </c>
      <c r="K102" s="259" t="e">
        <f t="shared" ca="1" si="323"/>
        <v>#DIV/0!</v>
      </c>
      <c r="L102" s="259" t="e">
        <f t="shared" ca="1" si="323"/>
        <v>#DIV/0!</v>
      </c>
      <c r="M102" s="259" t="e">
        <f t="shared" ca="1" si="323"/>
        <v>#DIV/0!</v>
      </c>
      <c r="N102" s="259" t="e">
        <f t="shared" ca="1" si="323"/>
        <v>#DIV/0!</v>
      </c>
      <c r="O102" s="259" t="e">
        <f t="shared" ca="1" si="323"/>
        <v>#DIV/0!</v>
      </c>
      <c r="P102" s="259" t="e">
        <f t="shared" ca="1" si="323"/>
        <v>#DIV/0!</v>
      </c>
      <c r="Q102" s="259" t="e">
        <f t="shared" ca="1" si="323"/>
        <v>#DIV/0!</v>
      </c>
      <c r="R102" s="259" t="e">
        <f t="shared" ca="1" si="323"/>
        <v>#DIV/0!</v>
      </c>
      <c r="S102" s="259" t="e">
        <f t="shared" ca="1" si="323"/>
        <v>#DIV/0!</v>
      </c>
    </row>
    <row r="103" spans="2:36" x14ac:dyDescent="0.25">
      <c r="C103" s="11" t="s">
        <v>84</v>
      </c>
      <c r="D103" s="66"/>
      <c r="E103" s="103" t="s">
        <v>85</v>
      </c>
      <c r="F103" s="103">
        <f>((F102-E102)/E102)</f>
        <v>0.31023420278743191</v>
      </c>
      <c r="G103" s="103">
        <f t="shared" ref="G103" si="324">((G102-F102)/F102)</f>
        <v>1.9470644850818095</v>
      </c>
      <c r="H103" s="103">
        <f t="shared" ref="H103" si="325">((H102-G102)/G102)</f>
        <v>0.11871325930764207</v>
      </c>
      <c r="I103" s="103">
        <f t="shared" ref="I103" si="326">((I102-H102)/H102)</f>
        <v>9.6920157641220264E-2</v>
      </c>
      <c r="J103" s="103" t="e">
        <f t="shared" ref="J103" ca="1" si="327">((J102-I102)/I102)</f>
        <v>#DIV/0!</v>
      </c>
      <c r="K103" s="103" t="e">
        <f t="shared" ref="K103" ca="1" si="328">((K102-J102)/J102)</f>
        <v>#DIV/0!</v>
      </c>
      <c r="L103" s="103" t="e">
        <f t="shared" ref="L103" ca="1" si="329">((L102-K102)/K102)</f>
        <v>#DIV/0!</v>
      </c>
      <c r="M103" s="103" t="e">
        <f t="shared" ref="M103" ca="1" si="330">((M102-L102)/L102)</f>
        <v>#DIV/0!</v>
      </c>
      <c r="N103" s="103" t="e">
        <f t="shared" ref="N103" ca="1" si="331">((N102-M102)/M102)</f>
        <v>#DIV/0!</v>
      </c>
      <c r="O103" s="103" t="e">
        <f t="shared" ref="O103" ca="1" si="332">((O102-N102)/N102)</f>
        <v>#DIV/0!</v>
      </c>
      <c r="P103" s="103" t="e">
        <f t="shared" ref="P103" ca="1" si="333">((P102-O102)/O102)</f>
        <v>#DIV/0!</v>
      </c>
      <c r="Q103" s="103" t="e">
        <f t="shared" ref="Q103" ca="1" si="334">((Q102-P102)/P102)</f>
        <v>#DIV/0!</v>
      </c>
      <c r="R103" s="103" t="e">
        <f t="shared" ref="R103" ca="1" si="335">((R102-Q102)/Q102)</f>
        <v>#DIV/0!</v>
      </c>
      <c r="S103" s="103" t="e">
        <f t="shared" ref="S103" ca="1" si="336">((S102-R102)/R102)</f>
        <v>#DIV/0!</v>
      </c>
    </row>
    <row r="104" spans="2:36" x14ac:dyDescent="0.25">
      <c r="C104" s="11"/>
      <c r="D104" s="66"/>
      <c r="E104" s="103"/>
      <c r="F104" s="103"/>
      <c r="G104" s="103"/>
      <c r="H104" s="103"/>
      <c r="I104" s="103"/>
      <c r="J104" s="103"/>
      <c r="K104" s="103"/>
      <c r="L104" s="103"/>
      <c r="M104" s="103"/>
      <c r="N104" s="103"/>
      <c r="O104" s="103"/>
      <c r="P104" s="103"/>
      <c r="Q104" s="103"/>
      <c r="R104" s="103"/>
      <c r="S104" s="103"/>
    </row>
    <row r="105" spans="2:36" x14ac:dyDescent="0.25">
      <c r="D105" s="66"/>
      <c r="E105" s="66"/>
      <c r="F105" s="66"/>
      <c r="G105" s="66"/>
      <c r="H105" s="66"/>
      <c r="I105" s="66"/>
      <c r="J105" s="66"/>
      <c r="K105" s="66"/>
      <c r="L105" s="66"/>
      <c r="M105" s="66"/>
      <c r="N105" s="66"/>
      <c r="O105" s="66"/>
      <c r="P105" s="66"/>
      <c r="Q105" s="66"/>
      <c r="R105" s="66"/>
      <c r="S105" s="66"/>
    </row>
    <row r="106" spans="2:36" x14ac:dyDescent="0.25">
      <c r="C106" s="10" t="s">
        <v>136</v>
      </c>
      <c r="D106" s="66"/>
      <c r="E106" s="66"/>
      <c r="F106" s="66"/>
      <c r="G106" s="66"/>
      <c r="H106" s="66"/>
      <c r="I106" s="66"/>
      <c r="J106" s="66"/>
      <c r="K106" s="66"/>
      <c r="L106" s="66"/>
      <c r="M106" s="66"/>
      <c r="N106" s="66"/>
      <c r="O106" s="66"/>
      <c r="P106" s="66"/>
      <c r="Q106" s="66"/>
      <c r="R106" s="66"/>
      <c r="S106" s="66"/>
      <c r="Z106" s="71"/>
      <c r="AA106" s="71"/>
      <c r="AB106" s="71"/>
      <c r="AC106" s="71"/>
      <c r="AD106" s="71"/>
      <c r="AE106" s="71"/>
      <c r="AF106" s="71"/>
      <c r="AG106" s="71"/>
      <c r="AH106" s="71"/>
      <c r="AI106" s="71"/>
      <c r="AJ106" s="71"/>
    </row>
    <row r="107" spans="2:36" x14ac:dyDescent="0.25">
      <c r="C107" s="10"/>
      <c r="D107" s="66"/>
      <c r="E107" s="66"/>
      <c r="F107" s="66"/>
      <c r="G107" s="66"/>
      <c r="H107" s="66"/>
      <c r="I107" s="66"/>
      <c r="J107" s="66"/>
      <c r="K107" s="66"/>
      <c r="L107" s="66"/>
      <c r="M107" s="66"/>
      <c r="N107" s="66"/>
      <c r="O107" s="66"/>
      <c r="P107" s="66"/>
      <c r="Q107" s="66"/>
      <c r="R107" s="66"/>
      <c r="S107" s="66"/>
      <c r="Z107" s="71"/>
      <c r="AA107" s="71"/>
      <c r="AB107" s="71"/>
      <c r="AC107" s="71"/>
      <c r="AD107" s="71"/>
      <c r="AE107" s="71"/>
      <c r="AF107" s="71"/>
      <c r="AG107" s="71"/>
      <c r="AH107" s="71"/>
      <c r="AI107" s="71"/>
      <c r="AJ107" s="71"/>
    </row>
    <row r="108" spans="2:36" x14ac:dyDescent="0.25">
      <c r="B108" s="85" t="s">
        <v>375</v>
      </c>
      <c r="C108" t="s">
        <v>137</v>
      </c>
      <c r="D108" s="66"/>
      <c r="E108" s="268">
        <f>'D&amp;A+CAPEX'!E61</f>
        <v>191.29999999999998</v>
      </c>
      <c r="F108" s="268">
        <f>'D&amp;A+CAPEX'!F61</f>
        <v>527</v>
      </c>
      <c r="G108" s="268">
        <f>'D&amp;A+CAPEX'!G61</f>
        <v>987</v>
      </c>
      <c r="H108" s="268">
        <f>'D&amp;A+CAPEX'!H61</f>
        <v>1018</v>
      </c>
      <c r="I108" s="268">
        <f>'D&amp;A+CAPEX'!I61</f>
        <v>1117</v>
      </c>
      <c r="J108" s="258" t="e">
        <f ca="1">'D&amp;A+CAPEX'!J34</f>
        <v>#DIV/0!</v>
      </c>
      <c r="K108" s="258" t="e">
        <f ca="1">'D&amp;A+CAPEX'!K34</f>
        <v>#DIV/0!</v>
      </c>
      <c r="L108" s="258" t="e">
        <f ca="1">'D&amp;A+CAPEX'!L34</f>
        <v>#DIV/0!</v>
      </c>
      <c r="M108" s="258" t="e">
        <f ca="1">'D&amp;A+CAPEX'!M34</f>
        <v>#DIV/0!</v>
      </c>
      <c r="N108" s="258" t="e">
        <f ca="1">'D&amp;A+CAPEX'!N34</f>
        <v>#DIV/0!</v>
      </c>
      <c r="O108" s="258" t="e">
        <f ca="1">'D&amp;A+CAPEX'!O34</f>
        <v>#DIV/0!</v>
      </c>
      <c r="P108" s="258" t="e">
        <f ca="1">'D&amp;A+CAPEX'!P34</f>
        <v>#DIV/0!</v>
      </c>
      <c r="Q108" s="258" t="e">
        <f ca="1">'D&amp;A+CAPEX'!Q34</f>
        <v>#DIV/0!</v>
      </c>
      <c r="R108" s="258" t="e">
        <f ca="1">'D&amp;A+CAPEX'!R34</f>
        <v>#DIV/0!</v>
      </c>
      <c r="S108" s="258" t="e">
        <f ca="1">'D&amp;A+CAPEX'!S34</f>
        <v>#DIV/0!</v>
      </c>
      <c r="Z108" s="71"/>
      <c r="AA108" s="71"/>
      <c r="AB108" s="71"/>
      <c r="AC108" s="71"/>
      <c r="AD108" s="71"/>
      <c r="AE108" s="71"/>
      <c r="AF108" s="71"/>
      <c r="AG108" s="71"/>
      <c r="AH108" s="71"/>
      <c r="AI108" s="340"/>
      <c r="AJ108" s="340"/>
    </row>
    <row r="109" spans="2:36" x14ac:dyDescent="0.25">
      <c r="B109" t="s">
        <v>398</v>
      </c>
      <c r="C109" t="s">
        <v>138</v>
      </c>
      <c r="D109" s="66"/>
      <c r="E109" s="268">
        <f>'D&amp;A+CAPEX'!E62</f>
        <v>30.3</v>
      </c>
      <c r="F109" s="268">
        <f>'D&amp;A+CAPEX'!F62</f>
        <v>56</v>
      </c>
      <c r="G109" s="268">
        <f>'D&amp;A+CAPEX'!G62</f>
        <v>139</v>
      </c>
      <c r="H109" s="268">
        <f>'D&amp;A+CAPEX'!H62</f>
        <v>187</v>
      </c>
      <c r="I109" s="268">
        <f>'D&amp;A+CAPEX'!I62</f>
        <v>144</v>
      </c>
      <c r="J109" s="258">
        <f ca="1">'D&amp;A+CAPEX'!J38</f>
        <v>112.8723486002106</v>
      </c>
      <c r="K109" s="258">
        <f ca="1">'D&amp;A+CAPEX'!K38</f>
        <v>114.12626162590757</v>
      </c>
      <c r="L109" s="258">
        <f ca="1">'D&amp;A+CAPEX'!L38</f>
        <v>114.7921196575943</v>
      </c>
      <c r="M109" s="258">
        <f ca="1">'D&amp;A+CAPEX'!M38</f>
        <v>115.14570631733515</v>
      </c>
      <c r="N109" s="258">
        <f ca="1">'D&amp;A+CAPEX'!N38</f>
        <v>115.33346935389412</v>
      </c>
      <c r="O109" s="258">
        <f ca="1">'D&amp;A+CAPEX'!O38</f>
        <v>115.43317605075787</v>
      </c>
      <c r="P109" s="258">
        <f ca="1">'D&amp;A+CAPEX'!P38</f>
        <v>115.486122709385</v>
      </c>
      <c r="Q109" s="258">
        <f ca="1">'D&amp;A+CAPEX'!Q38</f>
        <v>115.51423866095048</v>
      </c>
      <c r="R109" s="258">
        <f ca="1">'D&amp;A+CAPEX'!R38</f>
        <v>115.52916890873064</v>
      </c>
      <c r="S109" s="258">
        <f ca="1">'D&amp;A+CAPEX'!S38</f>
        <v>115.53709723007012</v>
      </c>
      <c r="Z109" s="71"/>
      <c r="AA109" s="71"/>
      <c r="AB109" s="71"/>
      <c r="AC109" s="71"/>
      <c r="AD109" s="71"/>
      <c r="AE109" s="71"/>
      <c r="AF109" s="71"/>
      <c r="AG109" s="71"/>
      <c r="AH109" s="71"/>
      <c r="AI109" s="71"/>
      <c r="AJ109" s="71"/>
    </row>
    <row r="110" spans="2:36" x14ac:dyDescent="0.25">
      <c r="B110" t="s">
        <v>370</v>
      </c>
      <c r="C110" s="101" t="s">
        <v>139</v>
      </c>
      <c r="D110" s="102"/>
      <c r="E110" s="331">
        <f>'D&amp;A+CAPEX'!E63</f>
        <v>221.52499999999998</v>
      </c>
      <c r="F110" s="331">
        <f>'D&amp;A+CAPEX'!F63</f>
        <v>583</v>
      </c>
      <c r="G110" s="331">
        <f>'D&amp;A+CAPEX'!G63</f>
        <v>1126</v>
      </c>
      <c r="H110" s="331">
        <f>'D&amp;A+CAPEX'!H63</f>
        <v>1205</v>
      </c>
      <c r="I110" s="331">
        <f>'D&amp;A+CAPEX'!I63</f>
        <v>1261</v>
      </c>
      <c r="J110" s="337" t="e">
        <f ca="1">J108+J109</f>
        <v>#DIV/0!</v>
      </c>
      <c r="K110" s="337" t="e">
        <f t="shared" ref="K110:N110" ca="1" si="337">K108+K109</f>
        <v>#DIV/0!</v>
      </c>
      <c r="L110" s="337" t="e">
        <f t="shared" ca="1" si="337"/>
        <v>#DIV/0!</v>
      </c>
      <c r="M110" s="337" t="e">
        <f t="shared" ca="1" si="337"/>
        <v>#DIV/0!</v>
      </c>
      <c r="N110" s="337" t="e">
        <f t="shared" ca="1" si="337"/>
        <v>#DIV/0!</v>
      </c>
      <c r="O110" s="337" t="e">
        <f t="shared" ref="O110:S110" ca="1" si="338">O108+O109</f>
        <v>#DIV/0!</v>
      </c>
      <c r="P110" s="337" t="e">
        <f t="shared" ca="1" si="338"/>
        <v>#DIV/0!</v>
      </c>
      <c r="Q110" s="337" t="e">
        <f t="shared" ca="1" si="338"/>
        <v>#DIV/0!</v>
      </c>
      <c r="R110" s="337" t="e">
        <f t="shared" ca="1" si="338"/>
        <v>#DIV/0!</v>
      </c>
      <c r="S110" s="337" t="e">
        <f t="shared" ca="1" si="338"/>
        <v>#DIV/0!</v>
      </c>
      <c r="Z110" s="71"/>
      <c r="AA110" s="71"/>
      <c r="AB110" s="71"/>
      <c r="AC110" s="71"/>
      <c r="AD110" s="71"/>
      <c r="AE110" s="71"/>
      <c r="AF110" s="71"/>
      <c r="AG110" s="71"/>
      <c r="AH110" s="71"/>
      <c r="AI110" s="71"/>
      <c r="AJ110" s="71"/>
    </row>
    <row r="111" spans="2:36" x14ac:dyDescent="0.25">
      <c r="C111" s="11" t="s">
        <v>84</v>
      </c>
      <c r="D111" s="66"/>
      <c r="E111" s="103" t="s">
        <v>85</v>
      </c>
      <c r="F111" s="103">
        <f t="shared" ref="F111:N111" si="339">((F110-E110)/E110)</f>
        <v>1.6317571380205398</v>
      </c>
      <c r="G111" s="103">
        <f t="shared" si="339"/>
        <v>0.93138936535162953</v>
      </c>
      <c r="H111" s="103">
        <f t="shared" si="339"/>
        <v>7.0159857904085257E-2</v>
      </c>
      <c r="I111" s="103">
        <f t="shared" si="339"/>
        <v>4.6473029045643155E-2</v>
      </c>
      <c r="J111" s="103" t="e">
        <f t="shared" ca="1" si="339"/>
        <v>#DIV/0!</v>
      </c>
      <c r="K111" s="103" t="e">
        <f t="shared" ca="1" si="339"/>
        <v>#DIV/0!</v>
      </c>
      <c r="L111" s="103" t="e">
        <f t="shared" ca="1" si="339"/>
        <v>#DIV/0!</v>
      </c>
      <c r="M111" s="103" t="e">
        <f t="shared" ca="1" si="339"/>
        <v>#DIV/0!</v>
      </c>
      <c r="N111" s="103" t="e">
        <f t="shared" ca="1" si="339"/>
        <v>#DIV/0!</v>
      </c>
      <c r="O111" s="103" t="e">
        <f t="shared" ref="O111" ca="1" si="340">((O110-N110)/N110)</f>
        <v>#DIV/0!</v>
      </c>
      <c r="P111" s="103" t="e">
        <f t="shared" ref="P111" ca="1" si="341">((P110-O110)/O110)</f>
        <v>#DIV/0!</v>
      </c>
      <c r="Q111" s="103" t="e">
        <f t="shared" ref="Q111" ca="1" si="342">((Q110-P110)/P110)</f>
        <v>#DIV/0!</v>
      </c>
      <c r="R111" s="103" t="e">
        <f t="shared" ref="R111" ca="1" si="343">((R110-Q110)/Q110)</f>
        <v>#DIV/0!</v>
      </c>
      <c r="S111" s="103" t="e">
        <f t="shared" ref="S111" ca="1" si="344">((S110-R110)/R110)</f>
        <v>#DIV/0!</v>
      </c>
      <c r="Z111" s="71"/>
      <c r="AA111" s="71"/>
      <c r="AB111" s="71"/>
      <c r="AC111" s="71"/>
      <c r="AD111" s="71"/>
      <c r="AE111" s="71"/>
      <c r="AF111" s="71"/>
      <c r="AG111" s="71"/>
      <c r="AH111" s="71"/>
      <c r="AI111" s="71"/>
      <c r="AJ111" s="71"/>
    </row>
    <row r="112" spans="2:36" x14ac:dyDescent="0.25">
      <c r="C112" s="11"/>
      <c r="D112" s="66"/>
      <c r="E112" s="343"/>
      <c r="F112" s="343"/>
      <c r="G112" s="343"/>
      <c r="H112" s="343"/>
      <c r="I112" s="343"/>
      <c r="J112" s="103"/>
      <c r="K112" s="103"/>
      <c r="L112" s="103"/>
      <c r="M112" s="103"/>
      <c r="N112" s="103"/>
      <c r="O112" s="103"/>
      <c r="P112" s="103"/>
      <c r="Q112" s="103"/>
      <c r="R112" s="103"/>
      <c r="S112" s="103"/>
      <c r="Z112" s="71"/>
      <c r="AA112" s="71"/>
      <c r="AB112" s="71"/>
      <c r="AC112" s="71"/>
      <c r="AD112" s="71"/>
      <c r="AE112" s="71"/>
      <c r="AF112" s="71"/>
      <c r="AG112" s="71"/>
      <c r="AH112" s="71"/>
      <c r="AI112" s="71"/>
      <c r="AJ112" s="71"/>
    </row>
    <row r="113" spans="2:36" x14ac:dyDescent="0.25">
      <c r="C113" s="11"/>
      <c r="D113" s="66"/>
      <c r="E113" s="343"/>
      <c r="F113" s="343"/>
      <c r="G113" s="343"/>
      <c r="H113" s="343"/>
      <c r="I113" s="343"/>
      <c r="J113" s="103"/>
      <c r="K113" s="103"/>
      <c r="L113" s="103"/>
      <c r="M113" s="103"/>
      <c r="N113" s="103"/>
      <c r="O113" s="103"/>
      <c r="P113" s="103"/>
      <c r="Q113" s="103"/>
      <c r="R113" s="103"/>
      <c r="S113" s="103"/>
      <c r="Z113" s="71"/>
      <c r="AA113" s="71"/>
      <c r="AB113" s="71"/>
      <c r="AC113" s="71"/>
      <c r="AD113" s="71"/>
      <c r="AE113" s="71"/>
      <c r="AF113" s="71"/>
      <c r="AG113" s="71"/>
      <c r="AH113" s="71"/>
      <c r="AI113" s="71"/>
      <c r="AJ113" s="71"/>
    </row>
    <row r="114" spans="2:36" x14ac:dyDescent="0.25">
      <c r="C114" s="10" t="s">
        <v>419</v>
      </c>
      <c r="D114" s="66"/>
      <c r="E114" s="344"/>
      <c r="F114" s="344"/>
      <c r="G114" s="344"/>
      <c r="H114" s="344"/>
      <c r="I114" s="344"/>
      <c r="J114" s="342"/>
      <c r="K114" s="342"/>
      <c r="L114" s="342"/>
      <c r="M114" s="342"/>
      <c r="N114" s="342"/>
      <c r="O114" s="342"/>
      <c r="P114" s="342"/>
      <c r="Q114" s="342"/>
      <c r="R114" s="342"/>
      <c r="S114" s="342"/>
      <c r="Z114" s="71"/>
      <c r="AA114" s="71"/>
      <c r="AB114" s="71"/>
      <c r="AC114" s="71"/>
      <c r="AD114" s="71"/>
      <c r="AE114" s="71"/>
      <c r="AF114" s="71"/>
      <c r="AG114" s="71"/>
      <c r="AH114" s="71"/>
      <c r="AI114" s="71"/>
      <c r="AJ114" s="71"/>
    </row>
    <row r="115" spans="2:36" x14ac:dyDescent="0.25">
      <c r="C115" s="11"/>
      <c r="D115" s="66"/>
      <c r="E115" s="343"/>
      <c r="F115" s="343"/>
      <c r="G115" s="343"/>
      <c r="H115" s="343"/>
      <c r="I115" s="343"/>
      <c r="J115" s="103"/>
      <c r="K115" s="103"/>
      <c r="L115" s="103"/>
      <c r="M115" s="103"/>
      <c r="N115" s="103"/>
      <c r="O115" s="103"/>
      <c r="P115" s="103"/>
      <c r="Q115" s="103"/>
      <c r="R115" s="103"/>
      <c r="S115" s="103"/>
      <c r="Z115" s="71"/>
      <c r="AA115" s="71"/>
      <c r="AB115" s="71"/>
      <c r="AC115" s="71"/>
      <c r="AD115" s="71"/>
      <c r="AE115" s="71"/>
      <c r="AF115" s="71"/>
      <c r="AG115" s="71"/>
      <c r="AH115" s="71"/>
      <c r="AI115" s="71"/>
      <c r="AJ115" s="71"/>
    </row>
    <row r="116" spans="2:36" x14ac:dyDescent="0.25">
      <c r="B116" s="85" t="s">
        <v>423</v>
      </c>
      <c r="C116" t="s">
        <v>420</v>
      </c>
      <c r="D116" s="66"/>
      <c r="E116" s="281" cm="1">
        <f t="array" ref="E116">IF(_xll.BDP(Hub!$D$4,$B116,"EQY_FUND_RELATIVE_PERIOD",E$9, "EQY_FUND_CRNCY", Hub!$D$8, "FA_ADJUSTED", "ADJ")="#N/A N/A", 0, _xll.BDP(Hub!$D$4,$B116,"EQY_FUND_RELATIVE_PERIOD",E$9, "EQY_FUND_CRNCY", Hub!$D$8, "FA_ADJUSTED", "ADJ"))</f>
        <v>62.594999999999999</v>
      </c>
      <c r="F116" s="281" cm="1">
        <f t="array" ref="F116">IF(_xll.BDP(Hub!$D$4,$B116,"EQY_FUND_RELATIVE_PERIOD",F$9, "EQY_FUND_CRNCY", Hub!$D$8, "FA_ADJUSTED", "ADJ")="#N/A N/A", 0, _xll.BDP(Hub!$D$4,$B116,"EQY_FUND_RELATIVE_PERIOD",F$9, "EQY_FUND_CRNCY", Hub!$D$8, "FA_ADJUSTED", "ADJ"))</f>
        <v>103</v>
      </c>
      <c r="G116" s="281" cm="1">
        <f t="array" ref="G116">IF(_xll.BDP(Hub!$D$4,$B116,"EQY_FUND_RELATIVE_PERIOD",G$9, "EQY_FUND_CRNCY", Hub!$D$8, "FA_ADJUSTED", "ADJ")="#N/A N/A", 0, _xll.BDP(Hub!$D$4,$B116,"EQY_FUND_RELATIVE_PERIOD",G$9, "EQY_FUND_CRNCY", Hub!$D$8, "FA_ADJUSTED", "ADJ"))</f>
        <v>232</v>
      </c>
      <c r="H116" s="281" cm="1">
        <f t="array" ref="H116">IF(_xll.BDP(Hub!$D$4,$B116,"EQY_FUND_RELATIVE_PERIOD",H$9, "EQY_FUND_CRNCY", Hub!$D$8, "FA_ADJUSTED", "ADJ")="#N/A N/A", 0, _xll.BDP(Hub!$D$4,$B116,"EQY_FUND_RELATIVE_PERIOD",H$9, "EQY_FUND_CRNCY", Hub!$D$8, "FA_ADJUSTED", "ADJ"))</f>
        <v>270</v>
      </c>
      <c r="I116" s="281" cm="1">
        <f t="array" ref="I116">IF(_xll.BDP(Hub!$D$4,$B116,"EQY_FUND_RELATIVE_PERIOD",I$9, "EQY_FUND_CRNCY", Hub!$D$8, "FA_ADJUSTED", "ADJ")="#N/A N/A", 0, _xll.BDP(Hub!$D$4,$B116,"EQY_FUND_RELATIVE_PERIOD",I$9, "EQY_FUND_CRNCY", Hub!$D$8, "FA_ADJUSTED", "ADJ"))</f>
        <v>255</v>
      </c>
      <c r="J116" s="258">
        <f ca="1">IFERROR(IF(RSQ($E116:$I116,$E$7:$I$7)&gt;0.5, (SLOPE($E116:$I116,$E$7:$I$7)+I116)*RSQ($E116:$I116,$E$7:$I$7)+(AVERAGE($E116:$I116)*(1-RSQ($E116:$I116,$E$7:$I$7))), AVERAGE($E116:$I116)),0)</f>
        <v>290.68865361599808</v>
      </c>
      <c r="K116" s="258">
        <f t="shared" ref="K116:S116" ca="1" si="345">IFERROR(IF(RSQ($E116:$I116,$E$7:$I$7)&gt;0.5, (SLOPE($E116:$I116,$E$7:$I$7)+J116)*RSQ($E116:$I116,$E$7:$I$7)+(AVERAGE($E116:$I116)*(1-RSQ($E116:$I116,$E$7:$I$7))), AVERAGE($E116:$I116)),0)</f>
        <v>320.8413807127485</v>
      </c>
      <c r="L116" s="258">
        <f t="shared" ca="1" si="345"/>
        <v>346.3168990988932</v>
      </c>
      <c r="M116" s="258">
        <f t="shared" ca="1" si="345"/>
        <v>367.84072462088847</v>
      </c>
      <c r="N116" s="258">
        <f t="shared" ca="1" si="345"/>
        <v>386.02583308773939</v>
      </c>
      <c r="O116" s="258">
        <f t="shared" ca="1" si="345"/>
        <v>401.39011717437586</v>
      </c>
      <c r="P116" s="258">
        <f t="shared" ca="1" si="345"/>
        <v>414.37113545783455</v>
      </c>
      <c r="Q116" s="258">
        <f t="shared" ca="1" si="345"/>
        <v>425.33857362321271</v>
      </c>
      <c r="R116" s="258">
        <f t="shared" ca="1" si="345"/>
        <v>434.60477272137342</v>
      </c>
      <c r="S116" s="258">
        <f t="shared" ca="1" si="345"/>
        <v>442.43362431205793</v>
      </c>
      <c r="Z116" s="71"/>
      <c r="AA116" s="71"/>
      <c r="AB116" s="71"/>
      <c r="AC116" s="71"/>
      <c r="AD116" s="71"/>
      <c r="AE116" s="71"/>
      <c r="AF116" s="71"/>
      <c r="AG116" s="71"/>
      <c r="AH116" s="71"/>
      <c r="AI116" s="340"/>
      <c r="AJ116" s="340"/>
    </row>
    <row r="117" spans="2:36" x14ac:dyDescent="0.25">
      <c r="B117" t="s">
        <v>440</v>
      </c>
      <c r="C117" t="s">
        <v>421</v>
      </c>
      <c r="D117" s="66"/>
      <c r="E117" s="281" cm="1">
        <f t="array" ref="E117">IF(_xll.BDP(Hub!$D$4,$B117,"EQY_FUND_RELATIVE_PERIOD",E$9, "EQY_FUND_CRNCY", Hub!$D$8, "FA_ADJUSTED", "ADJ")="#N/A N/A", 0, _xll.BDP(Hub!$D$4,$B117,"EQY_FUND_RELATIVE_PERIOD",E$9, "EQY_FUND_CRNCY", Hub!$D$8, "FA_ADJUSTED", "ADJ"))</f>
        <v>0</v>
      </c>
      <c r="F117" s="281" cm="1">
        <f t="array" ref="F117">IF(_xll.BDP(Hub!$D$4,$B117,"EQY_FUND_RELATIVE_PERIOD",F$9, "EQY_FUND_CRNCY", Hub!$D$8, "FA_ADJUSTED", "ADJ")="#N/A N/A", 0, _xll.BDP(Hub!$D$4,$B117,"EQY_FUND_RELATIVE_PERIOD",F$9, "EQY_FUND_CRNCY", Hub!$D$8, "FA_ADJUSTED", "ADJ"))</f>
        <v>0</v>
      </c>
      <c r="G117" s="281" cm="1">
        <f t="array" ref="G117">IF(_xll.BDP(Hub!$D$4,$B117,"EQY_FUND_RELATIVE_PERIOD",G$9, "EQY_FUND_CRNCY", Hub!$D$8, "FA_ADJUSTED", "ADJ")="#N/A N/A", 0, _xll.BDP(Hub!$D$4,$B117,"EQY_FUND_RELATIVE_PERIOD",G$9, "EQY_FUND_CRNCY", Hub!$D$8, "FA_ADJUSTED", "ADJ"))</f>
        <v>0</v>
      </c>
      <c r="H117" s="281" cm="1">
        <f t="array" ref="H117">IF(_xll.BDP(Hub!$D$4,$B117,"EQY_FUND_RELATIVE_PERIOD",H$9, "EQY_FUND_CRNCY", Hub!$D$8, "FA_ADJUSTED", "ADJ")="#N/A N/A", 0, _xll.BDP(Hub!$D$4,$B117,"EQY_FUND_RELATIVE_PERIOD",H$9, "EQY_FUND_CRNCY", Hub!$D$8, "FA_ADJUSTED", "ADJ"))</f>
        <v>0</v>
      </c>
      <c r="I117" s="281" cm="1">
        <f t="array" ref="I117">IF(_xll.BDP(Hub!$D$4,$B117,"EQY_FUND_RELATIVE_PERIOD",I$9, "EQY_FUND_CRNCY", Hub!$D$8, "FA_ADJUSTED", "ADJ")="#N/A N/A", 0, _xll.BDP(Hub!$D$4,$B117,"EQY_FUND_RELATIVE_PERIOD",I$9, "EQY_FUND_CRNCY", Hub!$D$8, "FA_ADJUSTED", "ADJ"))</f>
        <v>0</v>
      </c>
      <c r="J117" s="258">
        <f ca="1">IFERROR(IF(RSQ($E117:$I117,$E$7:$I$7)&gt;0.5, (SLOPE($E117:$I117,$E$7:$I$7)+I117)*RSQ($E117:$I117,$E$7:$I$7)+(AVERAGE($E117:$I117)*(1-RSQ($E117:$I117,$E$7:$I$7))), AVERAGE($E117:$I117)),0)</f>
        <v>0</v>
      </c>
      <c r="K117" s="258">
        <f t="shared" ref="K117:S117" ca="1" si="346">IFERROR(IF(RSQ($E117:$I117,$E$7:$I$7)&gt;0.5, (SLOPE($E117:$I117,$E$7:$I$7)+J117)*RSQ($E117:$I117,$E$7:$I$7)+(AVERAGE($E117:$I117)*(1-RSQ($E117:$I117,$E$7:$I$7))), AVERAGE($E117:$I117)),0)</f>
        <v>0</v>
      </c>
      <c r="L117" s="258">
        <f t="shared" ca="1" si="346"/>
        <v>0</v>
      </c>
      <c r="M117" s="258">
        <f t="shared" ca="1" si="346"/>
        <v>0</v>
      </c>
      <c r="N117" s="258">
        <f t="shared" ca="1" si="346"/>
        <v>0</v>
      </c>
      <c r="O117" s="258">
        <f t="shared" ca="1" si="346"/>
        <v>0</v>
      </c>
      <c r="P117" s="258">
        <f t="shared" ca="1" si="346"/>
        <v>0</v>
      </c>
      <c r="Q117" s="258">
        <f t="shared" ca="1" si="346"/>
        <v>0</v>
      </c>
      <c r="R117" s="258">
        <f t="shared" ca="1" si="346"/>
        <v>0</v>
      </c>
      <c r="S117" s="258">
        <f t="shared" ca="1" si="346"/>
        <v>0</v>
      </c>
      <c r="Z117" s="71"/>
      <c r="AA117" s="71"/>
      <c r="AB117" s="71"/>
      <c r="AC117" s="71"/>
      <c r="AD117" s="71"/>
      <c r="AE117" s="71"/>
      <c r="AF117" s="71"/>
      <c r="AG117" s="71"/>
      <c r="AH117" s="71"/>
      <c r="AI117" s="71"/>
      <c r="AJ117" s="71"/>
    </row>
    <row r="118" spans="2:36" x14ac:dyDescent="0.25">
      <c r="C118" s="101" t="s">
        <v>422</v>
      </c>
      <c r="D118" s="102"/>
      <c r="E118" s="331">
        <f>E116-E117</f>
        <v>62.594999999999999</v>
      </c>
      <c r="F118" s="331">
        <f t="shared" ref="F118:I118" si="347">F116-F117</f>
        <v>103</v>
      </c>
      <c r="G118" s="331">
        <f t="shared" si="347"/>
        <v>232</v>
      </c>
      <c r="H118" s="331">
        <f t="shared" si="347"/>
        <v>270</v>
      </c>
      <c r="I118" s="331">
        <f t="shared" si="347"/>
        <v>255</v>
      </c>
      <c r="J118" s="331">
        <f t="shared" ref="J118:S118" ca="1" si="348">J116+J117</f>
        <v>290.68865361599808</v>
      </c>
      <c r="K118" s="331">
        <f t="shared" ca="1" si="348"/>
        <v>320.8413807127485</v>
      </c>
      <c r="L118" s="331">
        <f t="shared" ca="1" si="348"/>
        <v>346.3168990988932</v>
      </c>
      <c r="M118" s="331">
        <f t="shared" ca="1" si="348"/>
        <v>367.84072462088847</v>
      </c>
      <c r="N118" s="331">
        <f t="shared" ca="1" si="348"/>
        <v>386.02583308773939</v>
      </c>
      <c r="O118" s="331">
        <f t="shared" ca="1" si="348"/>
        <v>401.39011717437586</v>
      </c>
      <c r="P118" s="331">
        <f t="shared" ca="1" si="348"/>
        <v>414.37113545783455</v>
      </c>
      <c r="Q118" s="331">
        <f t="shared" ca="1" si="348"/>
        <v>425.33857362321271</v>
      </c>
      <c r="R118" s="331">
        <f t="shared" ca="1" si="348"/>
        <v>434.60477272137342</v>
      </c>
      <c r="S118" s="331">
        <f t="shared" ca="1" si="348"/>
        <v>442.43362431205793</v>
      </c>
      <c r="Z118" s="71"/>
      <c r="AA118" s="71"/>
      <c r="AB118" s="71"/>
      <c r="AC118" s="71"/>
      <c r="AD118" s="71"/>
      <c r="AE118" s="71"/>
      <c r="AF118" s="71"/>
      <c r="AG118" s="71"/>
      <c r="AH118" s="71"/>
      <c r="AI118" s="71"/>
      <c r="AJ118" s="71"/>
    </row>
    <row r="119" spans="2:36" x14ac:dyDescent="0.25">
      <c r="C119" s="11" t="s">
        <v>84</v>
      </c>
      <c r="D119" s="66"/>
      <c r="E119" s="103" t="s">
        <v>85</v>
      </c>
      <c r="F119" s="103">
        <f t="shared" ref="F119" si="349">((F118-E118)/E118)</f>
        <v>0.64549884176052408</v>
      </c>
      <c r="G119" s="103">
        <f t="shared" ref="G119" si="350">((G118-F118)/F118)</f>
        <v>1.2524271844660195</v>
      </c>
      <c r="H119" s="103">
        <f t="shared" ref="H119" si="351">((H118-G118)/G118)</f>
        <v>0.16379310344827586</v>
      </c>
      <c r="I119" s="103">
        <f t="shared" ref="I119" si="352">((I118-H118)/H118)</f>
        <v>-5.5555555555555552E-2</v>
      </c>
      <c r="J119" s="103">
        <f t="shared" ref="J119" ca="1" si="353">((J118-I118)/I118)</f>
        <v>0.13995550437646306</v>
      </c>
      <c r="K119" s="103">
        <f t="shared" ref="K119" ca="1" si="354">((K118-J118)/J118)</f>
        <v>0.10372860007319862</v>
      </c>
      <c r="L119" s="103">
        <f t="shared" ref="L119" ca="1" si="355">((L118-K118)/K118)</f>
        <v>7.9402221526259753E-2</v>
      </c>
      <c r="M119" s="103">
        <f t="shared" ref="M119" ca="1" si="356">((M118-L118)/L118)</f>
        <v>6.2150664833277414E-2</v>
      </c>
      <c r="N119" s="103">
        <f t="shared" ref="N119" ca="1" si="357">((N118-M118)/M118)</f>
        <v>4.9437452814919361E-2</v>
      </c>
      <c r="O119" s="103">
        <f t="shared" ref="O119" ca="1" si="358">((O118-N118)/N118)</f>
        <v>3.9801181086096753E-2</v>
      </c>
      <c r="P119" s="103">
        <f t="shared" ref="P119" ca="1" si="359">((P118-O118)/O118)</f>
        <v>3.2340154199211019E-2</v>
      </c>
      <c r="Q119" s="103">
        <f t="shared" ref="Q119" ca="1" si="360">((Q118-P118)/P118)</f>
        <v>2.646766926287069E-2</v>
      </c>
      <c r="R119" s="103">
        <f t="shared" ref="R119" ca="1" si="361">((R118-Q118)/Q118)</f>
        <v>2.1785466150477099E-2</v>
      </c>
      <c r="S119" s="103">
        <f t="shared" ref="S119" ca="1" si="362">((S118-R118)/R118)</f>
        <v>1.801372668243478E-2</v>
      </c>
      <c r="Z119" s="71"/>
      <c r="AA119" s="71"/>
      <c r="AB119" s="71"/>
      <c r="AC119" s="71"/>
      <c r="AD119" s="71"/>
      <c r="AE119" s="71"/>
      <c r="AF119" s="71"/>
      <c r="AG119" s="71"/>
      <c r="AH119" s="71"/>
      <c r="AI119" s="71"/>
      <c r="AJ119" s="71"/>
    </row>
    <row r="120" spans="2:36" x14ac:dyDescent="0.25">
      <c r="C120" s="11"/>
      <c r="D120" s="66"/>
      <c r="E120" s="343"/>
      <c r="F120" s="343"/>
      <c r="G120" s="343"/>
      <c r="H120" s="343"/>
      <c r="I120" s="343"/>
      <c r="J120" s="103"/>
      <c r="K120" s="103"/>
      <c r="L120" s="103"/>
      <c r="M120" s="103"/>
      <c r="N120" s="103"/>
      <c r="O120" s="103"/>
      <c r="P120" s="103"/>
      <c r="Q120" s="103"/>
      <c r="R120" s="103"/>
      <c r="S120" s="103"/>
      <c r="Z120" s="71"/>
      <c r="AA120" s="71"/>
      <c r="AB120" s="71"/>
      <c r="AC120" s="71"/>
      <c r="AD120" s="71"/>
      <c r="AE120" s="71"/>
      <c r="AF120" s="71"/>
      <c r="AG120" s="71"/>
      <c r="AH120" s="71"/>
      <c r="AI120" s="71"/>
      <c r="AJ120" s="71"/>
    </row>
    <row r="121" spans="2:36" x14ac:dyDescent="0.25">
      <c r="D121" s="66"/>
      <c r="E121" s="66"/>
      <c r="F121" s="66"/>
      <c r="G121" s="66"/>
      <c r="H121" s="66"/>
      <c r="I121" s="66"/>
      <c r="J121" s="66"/>
      <c r="K121" s="66"/>
      <c r="L121" s="66"/>
      <c r="M121" s="66"/>
      <c r="N121" s="66"/>
      <c r="O121" s="66"/>
      <c r="P121" s="66"/>
      <c r="Q121" s="66"/>
      <c r="R121" s="66"/>
      <c r="S121" s="66"/>
    </row>
    <row r="122" spans="2:36" ht="15" customHeight="1" x14ac:dyDescent="0.25">
      <c r="C122" s="101" t="s">
        <v>135</v>
      </c>
      <c r="D122" s="102"/>
      <c r="E122" s="301">
        <f>E102+E110+E118</f>
        <v>1870.0959999999998</v>
      </c>
      <c r="F122" s="301">
        <f t="shared" ref="F122:S122" si="363">F102+F110+F118</f>
        <v>2764</v>
      </c>
      <c r="G122" s="301">
        <f t="shared" si="363"/>
        <v>7482</v>
      </c>
      <c r="H122" s="301">
        <f t="shared" si="363"/>
        <v>8326</v>
      </c>
      <c r="I122" s="301">
        <f t="shared" si="363"/>
        <v>9031</v>
      </c>
      <c r="J122" s="301" t="e">
        <f t="shared" ca="1" si="363"/>
        <v>#DIV/0!</v>
      </c>
      <c r="K122" s="301" t="e">
        <f t="shared" ca="1" si="363"/>
        <v>#DIV/0!</v>
      </c>
      <c r="L122" s="301" t="e">
        <f t="shared" ca="1" si="363"/>
        <v>#DIV/0!</v>
      </c>
      <c r="M122" s="301" t="e">
        <f t="shared" ca="1" si="363"/>
        <v>#DIV/0!</v>
      </c>
      <c r="N122" s="301" t="e">
        <f t="shared" ca="1" si="363"/>
        <v>#DIV/0!</v>
      </c>
      <c r="O122" s="301" t="e">
        <f t="shared" ca="1" si="363"/>
        <v>#DIV/0!</v>
      </c>
      <c r="P122" s="301" t="e">
        <f t="shared" ca="1" si="363"/>
        <v>#DIV/0!</v>
      </c>
      <c r="Q122" s="301" t="e">
        <f t="shared" ca="1" si="363"/>
        <v>#DIV/0!</v>
      </c>
      <c r="R122" s="301" t="e">
        <f t="shared" ca="1" si="363"/>
        <v>#DIV/0!</v>
      </c>
      <c r="S122" s="301" t="e">
        <f t="shared" ca="1" si="363"/>
        <v>#DIV/0!</v>
      </c>
    </row>
    <row r="123" spans="2:36" x14ac:dyDescent="0.25">
      <c r="C123" s="11" t="s">
        <v>84</v>
      </c>
      <c r="D123" s="66"/>
      <c r="E123" s="103" t="s">
        <v>85</v>
      </c>
      <c r="F123" s="103">
        <f>((F122-E122)/E122)</f>
        <v>0.47799899042616012</v>
      </c>
      <c r="G123" s="103">
        <f t="shared" ref="G123" si="364">((G122-F122)/F122)</f>
        <v>1.7069464544138928</v>
      </c>
      <c r="H123" s="103">
        <f t="shared" ref="H123" si="365">((H122-G122)/G122)</f>
        <v>0.1128040630847367</v>
      </c>
      <c r="I123" s="103">
        <f t="shared" ref="I123" si="366">((I122-H122)/H122)</f>
        <v>8.4674513571943305E-2</v>
      </c>
      <c r="J123" s="103" t="e">
        <f t="shared" ref="J123" ca="1" si="367">((J122-I122)/I122)</f>
        <v>#DIV/0!</v>
      </c>
      <c r="K123" s="103" t="e">
        <f t="shared" ref="K123" ca="1" si="368">((K122-J122)/J122)</f>
        <v>#DIV/0!</v>
      </c>
      <c r="L123" s="103" t="e">
        <f t="shared" ref="L123" ca="1" si="369">((L122-K122)/K122)</f>
        <v>#DIV/0!</v>
      </c>
      <c r="M123" s="103" t="e">
        <f t="shared" ref="M123" ca="1" si="370">((M122-L122)/L122)</f>
        <v>#DIV/0!</v>
      </c>
      <c r="N123" s="103" t="e">
        <f t="shared" ref="N123" ca="1" si="371">((N122-M122)/M122)</f>
        <v>#DIV/0!</v>
      </c>
      <c r="O123" s="103" t="e">
        <f t="shared" ref="O123" ca="1" si="372">((O122-N122)/N122)</f>
        <v>#DIV/0!</v>
      </c>
      <c r="P123" s="103" t="e">
        <f t="shared" ref="P123" ca="1" si="373">((P122-O122)/O122)</f>
        <v>#DIV/0!</v>
      </c>
      <c r="Q123" s="103" t="e">
        <f t="shared" ref="Q123" ca="1" si="374">((Q122-P122)/P122)</f>
        <v>#DIV/0!</v>
      </c>
      <c r="R123" s="103" t="e">
        <f t="shared" ref="R123" ca="1" si="375">((R122-Q122)/Q122)</f>
        <v>#DIV/0!</v>
      </c>
      <c r="S123" s="103" t="e">
        <f t="shared" ref="S123" ca="1" si="376">((S122-R122)/R122)</f>
        <v>#DIV/0!</v>
      </c>
      <c r="Z123" s="71"/>
      <c r="AA123" s="71"/>
      <c r="AB123" s="71"/>
      <c r="AC123" s="71"/>
      <c r="AD123" s="71"/>
      <c r="AE123" s="71"/>
      <c r="AF123" s="71"/>
      <c r="AG123" s="340"/>
      <c r="AH123" s="340"/>
      <c r="AI123" s="71"/>
      <c r="AJ123" s="71"/>
    </row>
    <row r="124" spans="2:36" x14ac:dyDescent="0.25">
      <c r="C124" s="11"/>
      <c r="D124" s="66"/>
      <c r="E124" s="103"/>
      <c r="F124" s="103"/>
      <c r="G124" s="103"/>
      <c r="H124" s="103"/>
      <c r="I124" s="103"/>
      <c r="J124" s="103"/>
      <c r="K124" s="103"/>
      <c r="L124" s="103"/>
      <c r="M124" s="103"/>
      <c r="N124" s="103"/>
      <c r="O124" s="103"/>
      <c r="P124" s="103"/>
      <c r="Q124" s="103"/>
      <c r="R124" s="103"/>
      <c r="S124" s="103"/>
      <c r="Z124" s="71"/>
      <c r="AA124" s="71"/>
      <c r="AB124" s="71"/>
      <c r="AC124" s="71"/>
      <c r="AD124" s="71"/>
      <c r="AE124" s="71"/>
      <c r="AF124" s="71"/>
      <c r="AG124" s="71"/>
      <c r="AH124" s="71"/>
      <c r="AI124" s="71"/>
      <c r="AJ124" s="71"/>
    </row>
    <row r="125" spans="2:36" x14ac:dyDescent="0.25">
      <c r="C125" s="11"/>
      <c r="D125" s="66"/>
      <c r="E125" s="103"/>
      <c r="F125" s="103"/>
      <c r="G125" s="103"/>
      <c r="H125" s="103"/>
      <c r="I125" s="103"/>
      <c r="J125" s="103"/>
      <c r="K125" s="103"/>
      <c r="L125" s="103"/>
      <c r="M125" s="103"/>
      <c r="N125" s="103"/>
      <c r="O125" s="103"/>
      <c r="P125" s="103"/>
      <c r="Q125" s="103"/>
      <c r="R125" s="103"/>
      <c r="S125" s="103"/>
      <c r="Z125" s="71"/>
      <c r="AA125" s="71"/>
      <c r="AB125" s="71"/>
      <c r="AC125" s="71"/>
      <c r="AD125" s="71"/>
      <c r="AE125" s="71"/>
      <c r="AF125" s="71"/>
      <c r="AG125" s="71"/>
      <c r="AH125" s="71"/>
      <c r="AI125" s="71"/>
      <c r="AJ125" s="71"/>
    </row>
    <row r="126" spans="2:36" x14ac:dyDescent="0.25">
      <c r="C126" s="78" t="s">
        <v>430</v>
      </c>
      <c r="D126" s="66"/>
      <c r="E126" s="103"/>
      <c r="F126" s="103"/>
      <c r="G126" s="103"/>
      <c r="H126" s="103"/>
      <c r="I126" s="103"/>
      <c r="J126" s="103"/>
      <c r="K126" s="103"/>
      <c r="L126" s="103"/>
      <c r="M126" s="103"/>
      <c r="N126" s="103"/>
      <c r="O126" s="103"/>
      <c r="P126" s="103"/>
      <c r="Q126" s="103"/>
      <c r="R126" s="103"/>
      <c r="S126" s="103"/>
      <c r="Z126" s="71"/>
      <c r="AA126" s="71"/>
      <c r="AB126" s="71"/>
      <c r="AC126" s="71"/>
      <c r="AD126" s="71"/>
      <c r="AE126" s="71"/>
      <c r="AF126" s="71"/>
      <c r="AG126" s="71"/>
      <c r="AH126" s="71"/>
      <c r="AI126" s="71"/>
      <c r="AJ126" s="71"/>
    </row>
    <row r="127" spans="2:36" x14ac:dyDescent="0.25">
      <c r="C127" s="11"/>
      <c r="D127" s="66"/>
      <c r="E127" s="103"/>
      <c r="F127" s="103"/>
      <c r="G127" s="103"/>
      <c r="H127" s="103"/>
      <c r="I127" s="103"/>
      <c r="J127" s="103"/>
      <c r="K127" s="103"/>
      <c r="L127" s="103"/>
      <c r="M127" s="103"/>
      <c r="N127" s="103"/>
      <c r="O127" s="103"/>
      <c r="P127" s="103"/>
      <c r="Q127" s="103"/>
      <c r="R127" s="103"/>
      <c r="S127" s="103"/>
      <c r="Z127" s="71"/>
      <c r="AA127" s="71"/>
      <c r="AB127" s="71"/>
      <c r="AC127" s="71"/>
      <c r="AD127" s="71"/>
      <c r="AE127" s="71"/>
      <c r="AF127" s="71"/>
      <c r="AG127" s="71"/>
      <c r="AH127" s="71"/>
      <c r="AI127" s="340"/>
      <c r="AJ127" s="340"/>
    </row>
    <row r="128" spans="2:36" x14ac:dyDescent="0.25">
      <c r="B128" t="s">
        <v>427</v>
      </c>
      <c r="C128" t="s">
        <v>424</v>
      </c>
      <c r="D128" s="66"/>
      <c r="E128" s="281" cm="1">
        <f t="array" ref="E128">IFERROR(IF(_xll.BDP(Hub!$D$4,$B128,"EQY_FUND_RELATIVE_PERIOD",E$9, "EQY_FUND_CRNCY", Hub!$D$8, "FA_ADJUSTED", "ADJ")="#N/A N/A", 0, _xll.BDP(Hub!$D$4,$B128,"EQY_FUND_RELATIVE_PERIOD",E$9, "EQY_FUND_CRNCY", Hub!$D$8, "FA_ADJUSTED", "ADJ")),0)</f>
        <v>0</v>
      </c>
      <c r="F128" s="281" cm="1">
        <f t="array" ref="F128">IFERROR(IF(_xll.BDP(Hub!$D$4,$B128,"EQY_FUND_RELATIVE_PERIOD",F$9, "EQY_FUND_CRNCY", Hub!$D$8, "FA_ADJUSTED", "ADJ")="#N/A N/A", 0, _xll.BDP(Hub!$D$4,$B128,"EQY_FUND_RELATIVE_PERIOD",F$9, "EQY_FUND_CRNCY", Hub!$D$8, "FA_ADJUSTED", "ADJ")),0)</f>
        <v>0</v>
      </c>
      <c r="G128" s="281" cm="1">
        <f t="array" ref="G128">IFERROR(IF(_xll.BDP(Hub!$D$4,$B128,"EQY_FUND_RELATIVE_PERIOD",G$9, "EQY_FUND_CRNCY", Hub!$D$8, "FA_ADJUSTED", "ADJ")="#N/A N/A", 0, _xll.BDP(Hub!$D$4,$B128,"EQY_FUND_RELATIVE_PERIOD",G$9, "EQY_FUND_CRNCY", Hub!$D$8, "FA_ADJUSTED", "ADJ")),0)</f>
        <v>0</v>
      </c>
      <c r="H128" s="281" cm="1">
        <f t="array" ref="H128">IFERROR(IF(_xll.BDP(Hub!$D$4,$B128,"EQY_FUND_RELATIVE_PERIOD",H$9, "EQY_FUND_CRNCY", Hub!$D$8, "FA_ADJUSTED", "ADJ")="#N/A N/A", 0, _xll.BDP(Hub!$D$4,$B128,"EQY_FUND_RELATIVE_PERIOD",H$9, "EQY_FUND_CRNCY", Hub!$D$8, "FA_ADJUSTED", "ADJ")),0)</f>
        <v>0</v>
      </c>
      <c r="I128" s="281" cm="1">
        <f t="array" ref="I128">IFERROR(IF(_xll.BDP(Hub!$D$4,$B128,"EQY_FUND_RELATIVE_PERIOD",I$9, "EQY_FUND_CRNCY", Hub!$D$8, "FA_ADJUSTED", "ADJ")="#N/A N/A", 0, _xll.BDP(Hub!$D$4,$B128,"EQY_FUND_RELATIVE_PERIOD",I$9, "EQY_FUND_CRNCY", Hub!$D$8, "FA_ADJUSTED", "ADJ")),0)</f>
        <v>0</v>
      </c>
      <c r="J128" s="258">
        <f ca="1">IFERROR(IF(RSQ($E128:$I128,$E$7:$I$7)&gt;0.5, (SLOPE($E128:$I128,$E$7:$I$7)+I128)*RSQ($E128:$I128,$E$7:$I$7)+(AVERAGE($E128:$I128)*(1-RSQ($E128:$I128,$E$7:$I$7))), AVERAGE($E128:$I128)),0)</f>
        <v>0</v>
      </c>
      <c r="K128" s="258">
        <f t="shared" ref="K128:S128" ca="1" si="377">IFERROR(IF(RSQ($E128:$I128,$E$7:$I$7)&gt;0.5, (SLOPE($E128:$I128,$E$7:$I$7)+J128)*RSQ($E128:$I128,$E$7:$I$7)+(AVERAGE($E128:$I128)*(1-RSQ($E128:$I128,$E$7:$I$7))), AVERAGE($E128:$I128)),0)</f>
        <v>0</v>
      </c>
      <c r="L128" s="258">
        <f t="shared" ca="1" si="377"/>
        <v>0</v>
      </c>
      <c r="M128" s="258">
        <f t="shared" ca="1" si="377"/>
        <v>0</v>
      </c>
      <c r="N128" s="258">
        <f t="shared" ca="1" si="377"/>
        <v>0</v>
      </c>
      <c r="O128" s="258">
        <f t="shared" ca="1" si="377"/>
        <v>0</v>
      </c>
      <c r="P128" s="258">
        <f t="shared" ca="1" si="377"/>
        <v>0</v>
      </c>
      <c r="Q128" s="258">
        <f t="shared" ca="1" si="377"/>
        <v>0</v>
      </c>
      <c r="R128" s="258">
        <f t="shared" ca="1" si="377"/>
        <v>0</v>
      </c>
      <c r="S128" s="258">
        <f t="shared" ca="1" si="377"/>
        <v>0</v>
      </c>
    </row>
    <row r="129" spans="2:21" x14ac:dyDescent="0.25">
      <c r="B129" t="s">
        <v>428</v>
      </c>
      <c r="C129" t="s">
        <v>425</v>
      </c>
      <c r="D129" s="66"/>
      <c r="E129" s="281" cm="1">
        <f t="array" ref="E129">IFERROR(IF(_xll.BDP(Hub!$D$4,$B129,"EQY_FUND_RELATIVE_PERIOD",E$9, "EQY_FUND_CRNCY", Hub!$D$8, "FA_ADJUSTED", "ADJ")="#N/A N/A", 0, _xll.BDP(Hub!$D$4,$B129,"EQY_FUND_RELATIVE_PERIOD",E$9, "EQY_FUND_CRNCY", Hub!$D$8, "FA_ADJUSTED", "ADJ")),0)</f>
        <v>0</v>
      </c>
      <c r="F129" s="281" cm="1">
        <f t="array" ref="F129">IFERROR(IF(_xll.BDP(Hub!$D$4,$B129,"EQY_FUND_RELATIVE_PERIOD",F$9, "EQY_FUND_CRNCY", Hub!$D$8, "FA_ADJUSTED", "ADJ")="#N/A N/A", 0, _xll.BDP(Hub!$D$4,$B129,"EQY_FUND_RELATIVE_PERIOD",F$9, "EQY_FUND_CRNCY", Hub!$D$8, "FA_ADJUSTED", "ADJ")),0)</f>
        <v>0</v>
      </c>
      <c r="G129" s="281" cm="1">
        <f t="array" ref="G129">IFERROR(IF(_xll.BDP(Hub!$D$4,$B129,"EQY_FUND_RELATIVE_PERIOD",G$9, "EQY_FUND_CRNCY", Hub!$D$8, "FA_ADJUSTED", "ADJ")="#N/A N/A", 0, _xll.BDP(Hub!$D$4,$B129,"EQY_FUND_RELATIVE_PERIOD",G$9, "EQY_FUND_CRNCY", Hub!$D$8, "FA_ADJUSTED", "ADJ")),0)</f>
        <v>0</v>
      </c>
      <c r="H129" s="281" cm="1">
        <f t="array" ref="H129">IFERROR(IF(_xll.BDP(Hub!$D$4,$B129,"EQY_FUND_RELATIVE_PERIOD",H$9, "EQY_FUND_CRNCY", Hub!$D$8, "FA_ADJUSTED", "ADJ")="#N/A N/A", 0, _xll.BDP(Hub!$D$4,$B129,"EQY_FUND_RELATIVE_PERIOD",H$9, "EQY_FUND_CRNCY", Hub!$D$8, "FA_ADJUSTED", "ADJ")),0)</f>
        <v>0</v>
      </c>
      <c r="I129" s="281" cm="1">
        <f t="array" ref="I129">IFERROR(IF(_xll.BDP(Hub!$D$4,$B129,"EQY_FUND_RELATIVE_PERIOD",I$9, "EQY_FUND_CRNCY", Hub!$D$8, "FA_ADJUSTED", "ADJ")="#N/A N/A", 0, _xll.BDP(Hub!$D$4,$B129,"EQY_FUND_RELATIVE_PERIOD",I$9, "EQY_FUND_CRNCY", Hub!$D$8, "FA_ADJUSTED", "ADJ")),0)</f>
        <v>0</v>
      </c>
      <c r="J129" s="258">
        <f t="shared" ref="J129:S131" ca="1" si="378">IFERROR(IF(RSQ($E129:$I129,$E$7:$I$7)&gt;0.5, (SLOPE($E129:$I129,$E$7:$I$7)+I129)*RSQ($E129:$I129,$E$7:$I$7)+(AVERAGE($E129:$I129)*(1-RSQ($E129:$I129,$E$7:$I$7))), AVERAGE($E129:$I129)),0)</f>
        <v>0</v>
      </c>
      <c r="K129" s="258">
        <f t="shared" ca="1" si="378"/>
        <v>0</v>
      </c>
      <c r="L129" s="258">
        <f t="shared" ca="1" si="378"/>
        <v>0</v>
      </c>
      <c r="M129" s="258">
        <f t="shared" ca="1" si="378"/>
        <v>0</v>
      </c>
      <c r="N129" s="258">
        <f t="shared" ca="1" si="378"/>
        <v>0</v>
      </c>
      <c r="O129" s="258">
        <f t="shared" ca="1" si="378"/>
        <v>0</v>
      </c>
      <c r="P129" s="258">
        <f t="shared" ca="1" si="378"/>
        <v>0</v>
      </c>
      <c r="Q129" s="258">
        <f t="shared" ca="1" si="378"/>
        <v>0</v>
      </c>
      <c r="R129" s="258">
        <f t="shared" ca="1" si="378"/>
        <v>0</v>
      </c>
      <c r="S129" s="258">
        <f t="shared" ca="1" si="378"/>
        <v>0</v>
      </c>
    </row>
    <row r="130" spans="2:21" ht="15" customHeight="1" x14ac:dyDescent="0.25">
      <c r="B130" s="85" t="s">
        <v>429</v>
      </c>
      <c r="C130" t="s">
        <v>426</v>
      </c>
      <c r="D130" s="66"/>
      <c r="E130" s="281" cm="1">
        <f t="array" ref="E130">IFERROR(IF(_xll.BDP(Hub!$D$4,$B130,"EQY_FUND_RELATIVE_PERIOD",E$9, "EQY_FUND_CRNCY", Hub!$D$8, "FA_ADJUSTED", "ADJ")="#N/A N/A", 0, _xll.BDP(Hub!$D$4,$B130,"EQY_FUND_RELATIVE_PERIOD",E$9, "EQY_FUND_CRNCY", Hub!$D$8, "FA_ADJUSTED", "ADJ")),0)</f>
        <v>0</v>
      </c>
      <c r="F130" s="281" cm="1">
        <f t="array" ref="F130">IFERROR(IF(_xll.BDP(Hub!$D$4,$B130,"EQY_FUND_RELATIVE_PERIOD",F$9, "EQY_FUND_CRNCY", Hub!$D$8, "FA_ADJUSTED", "ADJ")="#N/A N/A", 0, _xll.BDP(Hub!$D$4,$B130,"EQY_FUND_RELATIVE_PERIOD",F$9, "EQY_FUND_CRNCY", Hub!$D$8, "FA_ADJUSTED", "ADJ")),0)</f>
        <v>218</v>
      </c>
      <c r="G130" s="281" cm="1">
        <f t="array" ref="G130">IFERROR(IF(_xll.BDP(Hub!$D$4,$B130,"EQY_FUND_RELATIVE_PERIOD",G$9, "EQY_FUND_CRNCY", Hub!$D$8, "FA_ADJUSTED", "ADJ")="#N/A N/A", 0, _xll.BDP(Hub!$D$4,$B130,"EQY_FUND_RELATIVE_PERIOD",G$9, "EQY_FUND_CRNCY", Hub!$D$8, "FA_ADJUSTED", "ADJ")),0)</f>
        <v>508</v>
      </c>
      <c r="H130" s="281" cm="1">
        <f t="array" ref="H130">IFERROR(IF(_xll.BDP(Hub!$D$4,$B130,"EQY_FUND_RELATIVE_PERIOD",H$9, "EQY_FUND_CRNCY", Hub!$D$8, "FA_ADJUSTED", "ADJ")="#N/A N/A", 0, _xll.BDP(Hub!$D$4,$B130,"EQY_FUND_RELATIVE_PERIOD",H$9, "EQY_FUND_CRNCY", Hub!$D$8, "FA_ADJUSTED", "ADJ")),0)</f>
        <v>-46</v>
      </c>
      <c r="I130" s="281" cm="1">
        <f t="array" ref="I130">IFERROR(IF(_xll.BDP(Hub!$D$4,$B130,"EQY_FUND_RELATIVE_PERIOD",I$9, "EQY_FUND_CRNCY", Hub!$D$8, "FA_ADJUSTED", "ADJ")="#N/A N/A", 0, _xll.BDP(Hub!$D$4,$B130,"EQY_FUND_RELATIVE_PERIOD",I$9, "EQY_FUND_CRNCY", Hub!$D$8, "FA_ADJUSTED", "ADJ")),0)</f>
        <v>-10</v>
      </c>
      <c r="J130" s="258">
        <f t="shared" ca="1" si="378"/>
        <v>134</v>
      </c>
      <c r="K130" s="258">
        <f t="shared" ref="K130:S130" ca="1" si="379">IFERROR(IF(RSQ($E130:$I130,$E$7:$I$7)&gt;0.5, (SLOPE($E130:$I130,$E$7:$I$7)+J130)*RSQ($E130:$I130,$E$7:$I$7)+(AVERAGE($E130:$I130)*(1-RSQ($E130:$I130,$E$7:$I$7))), AVERAGE($E130:$I130)),0)</f>
        <v>134</v>
      </c>
      <c r="L130" s="258">
        <f t="shared" ca="1" si="379"/>
        <v>134</v>
      </c>
      <c r="M130" s="258">
        <f t="shared" ca="1" si="379"/>
        <v>134</v>
      </c>
      <c r="N130" s="258">
        <f t="shared" ca="1" si="379"/>
        <v>134</v>
      </c>
      <c r="O130" s="258">
        <f t="shared" ca="1" si="379"/>
        <v>134</v>
      </c>
      <c r="P130" s="258">
        <f t="shared" ca="1" si="379"/>
        <v>134</v>
      </c>
      <c r="Q130" s="258">
        <f t="shared" ca="1" si="379"/>
        <v>134</v>
      </c>
      <c r="R130" s="258">
        <f t="shared" ca="1" si="379"/>
        <v>134</v>
      </c>
      <c r="S130" s="258">
        <f t="shared" ca="1" si="379"/>
        <v>134</v>
      </c>
      <c r="U130" s="66"/>
    </row>
    <row r="131" spans="2:21" ht="15" customHeight="1" x14ac:dyDescent="0.25">
      <c r="B131" s="85" t="s">
        <v>460</v>
      </c>
      <c r="C131" t="s">
        <v>461</v>
      </c>
      <c r="D131" s="66"/>
      <c r="E131" s="281" cm="1">
        <f t="array" ref="E131">IFERROR(IF(-_xll.BDP(Hub!$D$4,$B131,"EQY_FUND_RELATIVE_PERIOD",E$9, "EQY_FUND_CRNCY", Hub!$D$8, "FA_ADJUSTED", "ADJ")="#N/A N/A", 0, -_xll.BDP(Hub!$D$4,$B131,"EQY_FUND_RELATIVE_PERIOD",E$9, "EQY_FUND_CRNCY", Hub!$D$8, "FA_ADJUSTED", "ADJ")),0)</f>
        <v>0</v>
      </c>
      <c r="F131" s="281" cm="1">
        <f t="array" ref="F131">IFERROR(IF(-_xll.BDP(Hub!$D$4,$B131,"EQY_FUND_RELATIVE_PERIOD",F$9, "EQY_FUND_CRNCY", Hub!$D$8, "FA_ADJUSTED", "ADJ")="#N/A N/A", 0, -_xll.BDP(Hub!$D$4,$B131,"EQY_FUND_RELATIVE_PERIOD",F$9, "EQY_FUND_CRNCY", Hub!$D$8, "FA_ADJUSTED", "ADJ")),0)</f>
        <v>0</v>
      </c>
      <c r="G131" s="281" cm="1">
        <f t="array" ref="G131">IFERROR(IF(-_xll.BDP(Hub!$D$4,$B131,"EQY_FUND_RELATIVE_PERIOD",G$9, "EQY_FUND_CRNCY", Hub!$D$8, "FA_ADJUSTED", "ADJ")="#N/A N/A", 0, -_xll.BDP(Hub!$D$4,$B131,"EQY_FUND_RELATIVE_PERIOD",G$9, "EQY_FUND_CRNCY", Hub!$D$8, "FA_ADJUSTED", "ADJ")),0)</f>
        <v>0</v>
      </c>
      <c r="H131" s="281" cm="1">
        <f t="array" ref="H131">IFERROR(IF(-_xll.BDP(Hub!$D$4,$B131,"EQY_FUND_RELATIVE_PERIOD",H$9, "EQY_FUND_CRNCY", Hub!$D$8, "FA_ADJUSTED", "ADJ")="#N/A N/A", 0, -_xll.BDP(Hub!$D$4,$B131,"EQY_FUND_RELATIVE_PERIOD",H$9, "EQY_FUND_CRNCY", Hub!$D$8, "FA_ADJUSTED", "ADJ")),0)</f>
        <v>0</v>
      </c>
      <c r="I131" s="281" cm="1">
        <f t="array" ref="I131">IFERROR(IF(-_xll.BDP(Hub!$D$4,$B131,"EQY_FUND_RELATIVE_PERIOD",I$9, "EQY_FUND_CRNCY", Hub!$D$8, "FA_ADJUSTED", "ADJ")="#N/A N/A", 0, -_xll.BDP(Hub!$D$4,$B131,"EQY_FUND_RELATIVE_PERIOD",I$9, "EQY_FUND_CRNCY", Hub!$D$8, "FA_ADJUSTED", "ADJ")),0)</f>
        <v>0</v>
      </c>
      <c r="J131" s="258">
        <f t="shared" ca="1" si="378"/>
        <v>0</v>
      </c>
      <c r="K131" s="258">
        <f t="shared" ref="K131:S131" ca="1" si="380">IFERROR(IF(RSQ($E131:$I131,$E$7:$I$7)&gt;0.5, (SLOPE($E131:$I131,$E$7:$I$7)+J131)*RSQ($E131:$I131,$E$7:$I$7)+(AVERAGE($E131:$I131)*(1-RSQ($E131:$I131,$E$7:$I$7))), AVERAGE($E131:$I131)),0)</f>
        <v>0</v>
      </c>
      <c r="L131" s="258">
        <f t="shared" ca="1" si="380"/>
        <v>0</v>
      </c>
      <c r="M131" s="258">
        <f t="shared" ca="1" si="380"/>
        <v>0</v>
      </c>
      <c r="N131" s="258">
        <f t="shared" ca="1" si="380"/>
        <v>0</v>
      </c>
      <c r="O131" s="258">
        <f t="shared" ca="1" si="380"/>
        <v>0</v>
      </c>
      <c r="P131" s="258">
        <f t="shared" ca="1" si="380"/>
        <v>0</v>
      </c>
      <c r="Q131" s="258">
        <f t="shared" ca="1" si="380"/>
        <v>0</v>
      </c>
      <c r="R131" s="258">
        <f t="shared" ca="1" si="380"/>
        <v>0</v>
      </c>
      <c r="S131" s="258">
        <f t="shared" ca="1" si="380"/>
        <v>0</v>
      </c>
      <c r="U131" s="66"/>
    </row>
    <row r="132" spans="2:21" x14ac:dyDescent="0.25">
      <c r="C132" s="101" t="s">
        <v>431</v>
      </c>
      <c r="D132" s="102"/>
      <c r="E132" s="259">
        <f>SUM(E128:E131)</f>
        <v>0</v>
      </c>
      <c r="F132" s="259">
        <f t="shared" ref="F132:S132" si="381">SUM(F128:F131)</f>
        <v>218</v>
      </c>
      <c r="G132" s="259">
        <f t="shared" si="381"/>
        <v>508</v>
      </c>
      <c r="H132" s="259">
        <f t="shared" si="381"/>
        <v>-46</v>
      </c>
      <c r="I132" s="259">
        <f t="shared" si="381"/>
        <v>-10</v>
      </c>
      <c r="J132" s="259">
        <f t="shared" ca="1" si="381"/>
        <v>134</v>
      </c>
      <c r="K132" s="259">
        <f t="shared" ca="1" si="381"/>
        <v>134</v>
      </c>
      <c r="L132" s="259">
        <f t="shared" ca="1" si="381"/>
        <v>134</v>
      </c>
      <c r="M132" s="259">
        <f t="shared" ca="1" si="381"/>
        <v>134</v>
      </c>
      <c r="N132" s="259">
        <f t="shared" ca="1" si="381"/>
        <v>134</v>
      </c>
      <c r="O132" s="259">
        <f t="shared" ca="1" si="381"/>
        <v>134</v>
      </c>
      <c r="P132" s="259">
        <f t="shared" ca="1" si="381"/>
        <v>134</v>
      </c>
      <c r="Q132" s="259">
        <f t="shared" ca="1" si="381"/>
        <v>134</v>
      </c>
      <c r="R132" s="259">
        <f t="shared" ca="1" si="381"/>
        <v>134</v>
      </c>
      <c r="S132" s="259">
        <f t="shared" ca="1" si="381"/>
        <v>134</v>
      </c>
    </row>
    <row r="133" spans="2:21" x14ac:dyDescent="0.25">
      <c r="C133" s="11" t="s">
        <v>84</v>
      </c>
      <c r="E133" s="103" t="s">
        <v>85</v>
      </c>
      <c r="F133" s="103" t="e">
        <f>((F132-E132)/E132)</f>
        <v>#DIV/0!</v>
      </c>
      <c r="G133" s="103">
        <f t="shared" ref="G133" si="382">((G132-F132)/F132)</f>
        <v>1.3302752293577982</v>
      </c>
      <c r="H133" s="103">
        <f t="shared" ref="H133" si="383">((H132-G132)/G132)</f>
        <v>-1.0905511811023623</v>
      </c>
      <c r="I133" s="103">
        <f t="shared" ref="I133" si="384">((I132-H132)/H132)</f>
        <v>-0.78260869565217395</v>
      </c>
      <c r="J133" s="103">
        <f t="shared" ref="J133" ca="1" si="385">((J132-I132)/I132)</f>
        <v>-14.4</v>
      </c>
      <c r="K133" s="103">
        <f t="shared" ref="K133" ca="1" si="386">((K132-J132)/J132)</f>
        <v>0</v>
      </c>
      <c r="L133" s="103">
        <f t="shared" ref="L133" ca="1" si="387">((L132-K132)/K132)</f>
        <v>0</v>
      </c>
      <c r="M133" s="103">
        <f t="shared" ref="M133" ca="1" si="388">((M132-L132)/L132)</f>
        <v>0</v>
      </c>
      <c r="N133" s="103">
        <f t="shared" ref="N133" ca="1" si="389">((N132-M132)/M132)</f>
        <v>0</v>
      </c>
      <c r="O133" s="103">
        <f t="shared" ref="O133" ca="1" si="390">((O132-N132)/N132)</f>
        <v>0</v>
      </c>
      <c r="P133" s="103">
        <f t="shared" ref="P133" ca="1" si="391">((P132-O132)/O132)</f>
        <v>0</v>
      </c>
      <c r="Q133" s="103">
        <f t="shared" ref="Q133" ca="1" si="392">((Q132-P132)/P132)</f>
        <v>0</v>
      </c>
      <c r="R133" s="103">
        <f t="shared" ref="R133" ca="1" si="393">((R132-Q132)/Q132)</f>
        <v>0</v>
      </c>
      <c r="S133" s="103">
        <f t="shared" ref="S133" ca="1" si="394">((S132-R132)/R132)</f>
        <v>0</v>
      </c>
    </row>
    <row r="134" spans="2:21" x14ac:dyDescent="0.25">
      <c r="D134" s="66"/>
      <c r="E134" s="66"/>
      <c r="F134" s="66"/>
      <c r="G134" s="66"/>
      <c r="H134" s="66"/>
      <c r="I134" s="66"/>
      <c r="J134" s="66"/>
      <c r="K134" s="66"/>
      <c r="L134" s="66"/>
      <c r="M134" s="66"/>
      <c r="N134" s="66"/>
      <c r="O134" s="66"/>
      <c r="P134" s="66"/>
      <c r="Q134" s="66"/>
      <c r="R134" s="66"/>
      <c r="S134" s="66"/>
    </row>
    <row r="135" spans="2:21" x14ac:dyDescent="0.25">
      <c r="D135" s="66"/>
      <c r="E135" s="66"/>
      <c r="F135" s="66"/>
      <c r="G135" s="66"/>
      <c r="H135" s="66"/>
      <c r="I135" s="66"/>
      <c r="J135" s="66"/>
      <c r="K135" s="66"/>
      <c r="L135" s="66"/>
      <c r="M135" s="66"/>
      <c r="N135" s="66"/>
      <c r="O135" s="66"/>
      <c r="P135" s="66"/>
      <c r="Q135" s="66"/>
      <c r="R135" s="66"/>
      <c r="S135" s="66"/>
    </row>
    <row r="136" spans="2:21" x14ac:dyDescent="0.25">
      <c r="B136" t="s">
        <v>352</v>
      </c>
      <c r="C136" t="s">
        <v>141</v>
      </c>
      <c r="D136" s="66"/>
      <c r="E136" s="281" cm="1">
        <f t="array" ref="E136">IF(_xll.BDP(Hub!$D$4,$B136,"EQY_FUND_RELATIVE_PERIOD",E$9, "EQY_FUND_CRNCY", Hub!$D$8, "FA_ADJUSTED", "ADJ")="#N/A N/A", 0, _xll.BDP(Hub!$D$4,$B136,"EQY_FUND_RELATIVE_PERIOD",E$9, "EQY_FUND_CRNCY", Hub!$D$8, "FA_ADJUSTED", "ADJ"))</f>
        <v>286.24799999999999</v>
      </c>
      <c r="F136" s="281" cm="1">
        <f t="array" ref="F136">IF(_xll.BDP(Hub!$D$4,$B136,"EQY_FUND_RELATIVE_PERIOD",F$9, "EQY_FUND_CRNCY", Hub!$D$8, "FA_ADJUSTED", "ADJ")="#N/A N/A", 0, _xll.BDP(Hub!$D$4,$B136,"EQY_FUND_RELATIVE_PERIOD",F$9, "EQY_FUND_CRNCY", Hub!$D$8, "FA_ADJUSTED", "ADJ"))</f>
        <v>1202</v>
      </c>
      <c r="G136" s="281" cm="1">
        <f t="array" ref="G136">IF(_xll.BDP(Hub!$D$4,$B136,"EQY_FUND_RELATIVE_PERIOD",G$9, "EQY_FUND_CRNCY", Hub!$D$8, "FA_ADJUSTED", "ADJ")="#N/A N/A", 0, _xll.BDP(Hub!$D$4,$B136,"EQY_FUND_RELATIVE_PERIOD",G$9, "EQY_FUND_CRNCY", Hub!$D$8, "FA_ADJUSTED", "ADJ"))</f>
        <v>2295</v>
      </c>
      <c r="H136" s="281" cm="1">
        <f t="array" ref="H136">IF(_xll.BDP(Hub!$D$4,$B136,"EQY_FUND_RELATIVE_PERIOD",H$9, "EQY_FUND_CRNCY", Hub!$D$8, "FA_ADJUSTED", "ADJ")="#N/A N/A", 0, _xll.BDP(Hub!$D$4,$B136,"EQY_FUND_RELATIVE_PERIOD",H$9, "EQY_FUND_CRNCY", Hub!$D$8, "FA_ADJUSTED", "ADJ"))</f>
        <v>2265</v>
      </c>
      <c r="I136" s="281" cm="1">
        <f t="array" ref="I136">IF(_xll.BDP(Hub!$D$4,$B136,"EQY_FUND_RELATIVE_PERIOD",I$9, "EQY_FUND_CRNCY", Hub!$D$8, "FA_ADJUSTED", "ADJ")="#N/A N/A", 0, _xll.BDP(Hub!$D$4,$B136,"EQY_FUND_RELATIVE_PERIOD",I$9, "EQY_FUND_CRNCY", Hub!$D$8, "FA_ADJUSTED", "ADJ"))</f>
        <v>2354</v>
      </c>
      <c r="J136" s="258">
        <f>IF(Hub!$D$87="Yes", Debt_Schedule!AE35, IF(Debt_Schedule!$AC$28="Backup Schedule Enabled", Debt_Schedule!AE35, Debt_Schedule!AE8))</f>
        <v>3468.4414878171206</v>
      </c>
      <c r="K136" s="258">
        <f>IF(Hub!$D$87="Yes", Debt_Schedule!AF35, IF(Debt_Schedule!$AC$28="Backup Schedule Enabled", Debt_Schedule!AF35, Debt_Schedule!AF8))</f>
        <v>4151.3140648728231</v>
      </c>
      <c r="L136" s="258">
        <f>IF(Hub!$D$87="Yes", Debt_Schedule!AG35, IF(Debt_Schedule!$AC$28="Backup Schedule Enabled", Debt_Schedule!AG35, Debt_Schedule!AG8))</f>
        <v>4834.1866419285252</v>
      </c>
      <c r="M136" s="258">
        <f>IF(Hub!$D$87="Yes", Debt_Schedule!AH35, IF(Debt_Schedule!$AC$28="Backup Schedule Enabled", Debt_Schedule!AH35, Debt_Schedule!AH8))</f>
        <v>5517.0592189842282</v>
      </c>
      <c r="N136" s="258">
        <f>IF(Hub!$D$87="Yes", Debt_Schedule!AI35, IF(Debt_Schedule!$AC$28="Backup Schedule Enabled", Debt_Schedule!AI35, Debt_Schedule!AI8))</f>
        <v>6199.9317960399312</v>
      </c>
      <c r="O136" s="258">
        <f>IF(Hub!$D$87="Yes", Debt_Schedule!AJ35, IF(Debt_Schedule!$AC$28="Backup Schedule Enabled", Debt_Schedule!AJ35, Debt_Schedule!AJ8))</f>
        <v>6882.8043730956351</v>
      </c>
      <c r="P136" s="258">
        <f>IF(Hub!$D$87="Yes", Debt_Schedule!AK35, IF(Debt_Schedule!$AC$28="Backup Schedule Enabled", Debt_Schedule!AK35, Debt_Schedule!AK8))</f>
        <v>7565.6769501513381</v>
      </c>
      <c r="Q136" s="258">
        <f>IF(Hub!$D$87="Yes", Debt_Schedule!AL35, IF(Debt_Schedule!$AC$28="Backup Schedule Enabled", Debt_Schedule!AL35, Debt_Schedule!AL8))</f>
        <v>8248.549527207042</v>
      </c>
      <c r="R136" s="258">
        <f>IF(Hub!$D$87="Yes", Debt_Schedule!AM35, IF(Debt_Schedule!$AC$28="Backup Schedule Enabled", Debt_Schedule!AM35, Debt_Schedule!AM8))</f>
        <v>8931.4221042627451</v>
      </c>
      <c r="S136" s="258">
        <f>IF(Hub!$D$87="Yes", Debt_Schedule!AN35, IF(Debt_Schedule!$AC$28="Backup Schedule Enabled", Debt_Schedule!AN35, Debt_Schedule!AN8))</f>
        <v>9614.2946813184462</v>
      </c>
    </row>
    <row r="137" spans="2:21" x14ac:dyDescent="0.25">
      <c r="B137" t="s">
        <v>456</v>
      </c>
      <c r="C137" t="s">
        <v>455</v>
      </c>
      <c r="D137" s="66"/>
      <c r="E137" s="281" cm="1">
        <f t="array" ref="E137">IF(_xll.BDP(Hub!$D$4,$B137,"EQY_FUND_RELATIVE_PERIOD",E$9, "EQY_FUND_CRNCY", Hub!$D$8, "FA_ADJUSTED", "ADJ")="#N/A N/A", 0, _xll.BDP(Hub!$D$4,$B137,"EQY_FUND_RELATIVE_PERIOD",E$9, "EQY_FUND_CRNCY", Hub!$D$8, "FA_ADJUSTED", "ADJ"))</f>
        <v>0</v>
      </c>
      <c r="F137" s="281" cm="1">
        <f t="array" ref="F137">IF(_xll.BDP(Hub!$D$4,$B137,"EQY_FUND_RELATIVE_PERIOD",F$9, "EQY_FUND_CRNCY", Hub!$D$8, "FA_ADJUSTED", "ADJ")="#N/A N/A", 0, _xll.BDP(Hub!$D$4,$B137,"EQY_FUND_RELATIVE_PERIOD",F$9, "EQY_FUND_CRNCY", Hub!$D$8, "FA_ADJUSTED", "ADJ"))</f>
        <v>0</v>
      </c>
      <c r="G137" s="281" cm="1">
        <f t="array" ref="G137">IF(_xll.BDP(Hub!$D$4,$B137,"EQY_FUND_RELATIVE_PERIOD",G$9, "EQY_FUND_CRNCY", Hub!$D$8, "FA_ADJUSTED", "ADJ")="#N/A N/A", 0, _xll.BDP(Hub!$D$4,$B137,"EQY_FUND_RELATIVE_PERIOD",G$9, "EQY_FUND_CRNCY", Hub!$D$8, "FA_ADJUSTED", "ADJ"))</f>
        <v>0</v>
      </c>
      <c r="H137" s="281" cm="1">
        <f t="array" ref="H137">IF(_xll.BDP(Hub!$D$4,$B137,"EQY_FUND_RELATIVE_PERIOD",H$9, "EQY_FUND_CRNCY", Hub!$D$8, "FA_ADJUSTED", "ADJ")="#N/A N/A", 0, _xll.BDP(Hub!$D$4,$B137,"EQY_FUND_RELATIVE_PERIOD",H$9, "EQY_FUND_CRNCY", Hub!$D$8, "FA_ADJUSTED", "ADJ"))</f>
        <v>0</v>
      </c>
      <c r="I137" s="281" cm="1">
        <f t="array" ref="I137">IF(_xll.BDP(Hub!$D$4,$B137,"EQY_FUND_RELATIVE_PERIOD",I$9, "EQY_FUND_CRNCY", Hub!$D$8, "FA_ADJUSTED", "ADJ")="#N/A N/A", 0, _xll.BDP(Hub!$D$4,$B137,"EQY_FUND_RELATIVE_PERIOD",I$9, "EQY_FUND_CRNCY", Hub!$D$8, "FA_ADJUSTED", "ADJ"))</f>
        <v>12</v>
      </c>
      <c r="J137" s="258">
        <f t="shared" ref="J137:S137" ca="1" si="395">IFERROR(IF(RSQ($E137:$I137,$E$7:$I$7)&gt;0.5, (SLOPE($E137:$I137,$E$7:$I$7)+I137)*RSQ($E137:$I137,$E$7:$I$7)+(AVERAGE($E137:$I137)*(1-RSQ($E137:$I137,$E$7:$I$7))), AVERAGE($E137:$I137)),0)</f>
        <v>2.4</v>
      </c>
      <c r="K137" s="258">
        <f t="shared" ca="1" si="395"/>
        <v>2.4</v>
      </c>
      <c r="L137" s="258">
        <f t="shared" ca="1" si="395"/>
        <v>2.4</v>
      </c>
      <c r="M137" s="258">
        <f t="shared" ca="1" si="395"/>
        <v>2.4</v>
      </c>
      <c r="N137" s="258">
        <f t="shared" ca="1" si="395"/>
        <v>2.4</v>
      </c>
      <c r="O137" s="258">
        <f t="shared" ca="1" si="395"/>
        <v>2.4</v>
      </c>
      <c r="P137" s="258">
        <f t="shared" ca="1" si="395"/>
        <v>2.4</v>
      </c>
      <c r="Q137" s="258">
        <f t="shared" ca="1" si="395"/>
        <v>2.4</v>
      </c>
      <c r="R137" s="258">
        <f t="shared" ca="1" si="395"/>
        <v>2.4</v>
      </c>
      <c r="S137" s="258">
        <f t="shared" ca="1" si="395"/>
        <v>2.4</v>
      </c>
    </row>
    <row r="138" spans="2:21" x14ac:dyDescent="0.25">
      <c r="C138" s="101" t="s">
        <v>457</v>
      </c>
      <c r="D138" s="102"/>
      <c r="E138" s="259">
        <f>E136-E137</f>
        <v>286.24799999999999</v>
      </c>
      <c r="F138" s="259">
        <f t="shared" ref="F138:I138" si="396">F136-F137</f>
        <v>1202</v>
      </c>
      <c r="G138" s="259">
        <f t="shared" si="396"/>
        <v>2295</v>
      </c>
      <c r="H138" s="259">
        <f t="shared" si="396"/>
        <v>2265</v>
      </c>
      <c r="I138" s="259">
        <f t="shared" si="396"/>
        <v>2342</v>
      </c>
      <c r="J138" s="259">
        <f t="shared" ref="J138" ca="1" si="397">J136-J137</f>
        <v>3466.0414878171205</v>
      </c>
      <c r="K138" s="259">
        <f t="shared" ref="K138" ca="1" si="398">K136-K137</f>
        <v>4148.9140648728235</v>
      </c>
      <c r="L138" s="259">
        <f t="shared" ref="L138" ca="1" si="399">L136-L137</f>
        <v>4831.7866419285256</v>
      </c>
      <c r="M138" s="259">
        <f t="shared" ref="M138" ca="1" si="400">M136-M137</f>
        <v>5514.6592189842286</v>
      </c>
      <c r="N138" s="259">
        <f t="shared" ref="N138" ca="1" si="401">N136-N137</f>
        <v>6197.5317960399316</v>
      </c>
      <c r="O138" s="259">
        <f t="shared" ref="O138" ca="1" si="402">O136-O137</f>
        <v>6880.4043730956355</v>
      </c>
      <c r="P138" s="259">
        <f t="shared" ref="P138" ca="1" si="403">P136-P137</f>
        <v>7563.2769501513385</v>
      </c>
      <c r="Q138" s="259">
        <f t="shared" ref="Q138" ca="1" si="404">Q136-Q137</f>
        <v>8246.1495272070424</v>
      </c>
      <c r="R138" s="259">
        <f t="shared" ref="R138" ca="1" si="405">R136-R137</f>
        <v>8929.0221042627454</v>
      </c>
      <c r="S138" s="259">
        <f t="shared" ref="S138" ca="1" si="406">S136-S137</f>
        <v>9611.8946813184466</v>
      </c>
    </row>
    <row r="139" spans="2:21" x14ac:dyDescent="0.25">
      <c r="C139" s="11" t="s">
        <v>84</v>
      </c>
      <c r="E139" s="103" t="s">
        <v>85</v>
      </c>
      <c r="F139" s="103">
        <f>((F138-E138)/E138)</f>
        <v>3.1991559766356445</v>
      </c>
      <c r="G139" s="103">
        <f t="shared" ref="G139" si="407">((G138-F138)/F138)</f>
        <v>0.90931780366056569</v>
      </c>
      <c r="H139" s="103">
        <f t="shared" ref="H139" si="408">((H138-G138)/G138)</f>
        <v>-1.3071895424836602E-2</v>
      </c>
      <c r="I139" s="103">
        <f t="shared" ref="I139" si="409">((I138-H138)/H138)</f>
        <v>3.399558498896247E-2</v>
      </c>
      <c r="J139" s="103">
        <f t="shared" ref="J139" ca="1" si="410">((J138-I138)/I138)</f>
        <v>0.47994939701841183</v>
      </c>
      <c r="K139" s="103">
        <f t="shared" ref="K139" ca="1" si="411">((K138-J138)/J138)</f>
        <v>0.19701800438798833</v>
      </c>
      <c r="L139" s="103">
        <f t="shared" ref="L139" ca="1" si="412">((L138-K138)/K138)</f>
        <v>0.16459067755519641</v>
      </c>
      <c r="M139" s="103">
        <f t="shared" ref="M139" ca="1" si="413">((M138-L138)/L138)</f>
        <v>0.14132920752956632</v>
      </c>
      <c r="N139" s="103">
        <f t="shared" ref="N139" ca="1" si="414">((N138-M138)/M138)</f>
        <v>0.12382860843058305</v>
      </c>
      <c r="O139" s="103">
        <f t="shared" ref="O139" ca="1" si="415">((O138-N138)/N138)</f>
        <v>0.11018460243996529</v>
      </c>
      <c r="P139" s="103">
        <f t="shared" ref="P139" ca="1" si="416">((P138-O138)/O138)</f>
        <v>9.9248901667165323E-2</v>
      </c>
      <c r="Q139" s="103">
        <f t="shared" ref="Q139" ca="1" si="417">((Q138-P138)/P138)</f>
        <v>9.0287924342376466E-2</v>
      </c>
      <c r="R139" s="103">
        <f t="shared" ref="R139" ca="1" si="418">((R138-Q138)/Q138)</f>
        <v>8.2811083500566943E-2</v>
      </c>
      <c r="S139" s="103">
        <f t="shared" ref="S139" ca="1" si="419">((S138-R138)/R138)</f>
        <v>7.6477868358024947E-2</v>
      </c>
    </row>
    <row r="140" spans="2:21" x14ac:dyDescent="0.25">
      <c r="C140" s="11"/>
      <c r="E140" s="103"/>
      <c r="F140" s="103"/>
      <c r="G140" s="103"/>
      <c r="H140" s="103"/>
      <c r="I140" s="103"/>
      <c r="J140" s="103"/>
      <c r="K140" s="103"/>
      <c r="L140" s="103"/>
      <c r="M140" s="103"/>
      <c r="N140" s="103"/>
      <c r="O140" s="103"/>
      <c r="P140" s="103"/>
      <c r="Q140" s="103"/>
      <c r="R140" s="103"/>
      <c r="S140" s="103"/>
    </row>
    <row r="141" spans="2:21" x14ac:dyDescent="0.25">
      <c r="E141" s="103"/>
      <c r="F141" s="103"/>
      <c r="G141" s="103"/>
      <c r="H141" s="103"/>
      <c r="I141" s="103"/>
      <c r="J141" s="103"/>
      <c r="K141" s="103"/>
      <c r="L141" s="103"/>
      <c r="M141" s="103"/>
      <c r="N141" s="103"/>
      <c r="O141" s="103"/>
      <c r="P141" s="103"/>
      <c r="Q141" s="103"/>
      <c r="R141" s="103"/>
      <c r="S141" s="103"/>
    </row>
    <row r="142" spans="2:21" x14ac:dyDescent="0.25">
      <c r="C142" s="101" t="s">
        <v>142</v>
      </c>
      <c r="D142" s="102"/>
      <c r="E142" s="270">
        <f>E102-E132-E138</f>
        <v>1299.7279999999998</v>
      </c>
      <c r="F142" s="270">
        <f>F102-F132-F138</f>
        <v>658</v>
      </c>
      <c r="G142" s="270">
        <f>G102-G132-G138</f>
        <v>3321</v>
      </c>
      <c r="H142" s="270">
        <f>H102-H132-H138</f>
        <v>4632</v>
      </c>
      <c r="I142" s="270">
        <f>I102-I132-I138</f>
        <v>5183</v>
      </c>
      <c r="J142" s="259" t="e">
        <f t="shared" ref="J142:S142" ca="1" si="420">J102-J138</f>
        <v>#DIV/0!</v>
      </c>
      <c r="K142" s="259" t="e">
        <f t="shared" ca="1" si="420"/>
        <v>#DIV/0!</v>
      </c>
      <c r="L142" s="259" t="e">
        <f t="shared" ca="1" si="420"/>
        <v>#DIV/0!</v>
      </c>
      <c r="M142" s="259" t="e">
        <f t="shared" ca="1" si="420"/>
        <v>#DIV/0!</v>
      </c>
      <c r="N142" s="259" t="e">
        <f t="shared" ca="1" si="420"/>
        <v>#DIV/0!</v>
      </c>
      <c r="O142" s="259" t="e">
        <f t="shared" ca="1" si="420"/>
        <v>#DIV/0!</v>
      </c>
      <c r="P142" s="259" t="e">
        <f t="shared" ca="1" si="420"/>
        <v>#DIV/0!</v>
      </c>
      <c r="Q142" s="259" t="e">
        <f t="shared" ca="1" si="420"/>
        <v>#DIV/0!</v>
      </c>
      <c r="R142" s="259" t="e">
        <f t="shared" ca="1" si="420"/>
        <v>#DIV/0!</v>
      </c>
      <c r="S142" s="259" t="e">
        <f t="shared" ca="1" si="420"/>
        <v>#DIV/0!</v>
      </c>
    </row>
    <row r="143" spans="2:21" x14ac:dyDescent="0.25">
      <c r="C143" s="11" t="s">
        <v>84</v>
      </c>
      <c r="E143" s="103" t="s">
        <v>85</v>
      </c>
      <c r="F143" s="103">
        <f>((F142-E142)/E142)</f>
        <v>-0.4937402287247793</v>
      </c>
      <c r="G143" s="103">
        <f t="shared" ref="G143" si="421">((G142-F142)/F142)</f>
        <v>4.047112462006079</v>
      </c>
      <c r="H143" s="103">
        <f t="shared" ref="H143" si="422">((H142-G142)/G142)</f>
        <v>0.3947606142728094</v>
      </c>
      <c r="I143" s="103">
        <f t="shared" ref="I143" si="423">((I142-H142)/H142)</f>
        <v>0.11895509499136442</v>
      </c>
      <c r="J143" s="103" t="e">
        <f t="shared" ref="J143" ca="1" si="424">((J142-I142)/I142)</f>
        <v>#DIV/0!</v>
      </c>
      <c r="K143" s="103" t="e">
        <f t="shared" ref="K143" ca="1" si="425">((K142-J142)/J142)</f>
        <v>#DIV/0!</v>
      </c>
      <c r="L143" s="103" t="e">
        <f t="shared" ref="L143" ca="1" si="426">((L142-K142)/K142)</f>
        <v>#DIV/0!</v>
      </c>
      <c r="M143" s="103" t="e">
        <f t="shared" ref="M143" ca="1" si="427">((M142-L142)/L142)</f>
        <v>#DIV/0!</v>
      </c>
      <c r="N143" s="103" t="e">
        <f t="shared" ref="N143" ca="1" si="428">((N142-M142)/M142)</f>
        <v>#DIV/0!</v>
      </c>
      <c r="O143" s="103" t="e">
        <f t="shared" ref="O143" ca="1" si="429">((O142-N142)/N142)</f>
        <v>#DIV/0!</v>
      </c>
      <c r="P143" s="103" t="e">
        <f t="shared" ref="P143" ca="1" si="430">((P142-O142)/O142)</f>
        <v>#DIV/0!</v>
      </c>
      <c r="Q143" s="103" t="e">
        <f t="shared" ref="Q143" ca="1" si="431">((Q142-P142)/P142)</f>
        <v>#DIV/0!</v>
      </c>
      <c r="R143" s="103" t="e">
        <f t="shared" ref="R143" ca="1" si="432">((R142-Q142)/Q142)</f>
        <v>#DIV/0!</v>
      </c>
      <c r="S143" s="103" t="e">
        <f t="shared" ref="S143" ca="1" si="433">((S142-R142)/R142)</f>
        <v>#DIV/0!</v>
      </c>
    </row>
    <row r="144" spans="2:21" x14ac:dyDescent="0.25">
      <c r="C144" s="11"/>
      <c r="E144" s="103"/>
      <c r="F144" s="103"/>
      <c r="G144" s="103"/>
      <c r="H144" s="103"/>
      <c r="I144" s="103"/>
      <c r="J144" s="103"/>
      <c r="K144" s="103"/>
      <c r="L144" s="103"/>
      <c r="M144" s="103"/>
      <c r="N144" s="103"/>
      <c r="O144" s="103"/>
      <c r="P144" s="103"/>
      <c r="Q144" s="103"/>
      <c r="R144" s="103"/>
      <c r="S144" s="103"/>
    </row>
    <row r="145" spans="2:36" x14ac:dyDescent="0.25">
      <c r="C145" s="11"/>
      <c r="E145" s="103"/>
      <c r="F145" s="103"/>
      <c r="G145" s="103"/>
      <c r="H145" s="103"/>
      <c r="I145" s="103"/>
      <c r="J145" s="103"/>
      <c r="K145" s="103"/>
      <c r="L145" s="103"/>
      <c r="M145" s="103"/>
      <c r="N145" s="103"/>
      <c r="O145" s="103"/>
      <c r="P145" s="103"/>
      <c r="Q145" s="103"/>
      <c r="R145" s="103"/>
      <c r="S145" s="103"/>
    </row>
    <row r="146" spans="2:36" x14ac:dyDescent="0.25">
      <c r="C146" s="10" t="s">
        <v>432</v>
      </c>
      <c r="E146" s="103"/>
      <c r="F146" s="103"/>
      <c r="G146" s="103"/>
      <c r="H146" s="103"/>
      <c r="I146" s="103"/>
      <c r="J146" s="103"/>
      <c r="K146" s="103"/>
      <c r="L146" s="103"/>
      <c r="M146" s="103"/>
      <c r="N146" s="103"/>
      <c r="O146" s="103"/>
      <c r="P146" s="103"/>
      <c r="Q146" s="103"/>
      <c r="R146" s="103"/>
      <c r="S146" s="103"/>
    </row>
    <row r="147" spans="2:36" x14ac:dyDescent="0.25">
      <c r="E147" s="103"/>
      <c r="F147" s="103"/>
      <c r="G147" s="103"/>
      <c r="H147" s="103"/>
      <c r="I147" s="103"/>
      <c r="J147" s="103"/>
      <c r="K147" s="103"/>
      <c r="L147" s="103"/>
      <c r="M147" s="103"/>
      <c r="N147" s="103"/>
      <c r="O147" s="103"/>
      <c r="P147" s="103"/>
      <c r="Q147" s="103"/>
      <c r="R147" s="103"/>
      <c r="S147" s="103"/>
    </row>
    <row r="148" spans="2:36" x14ac:dyDescent="0.25">
      <c r="B148" t="s">
        <v>437</v>
      </c>
      <c r="C148" t="s">
        <v>433</v>
      </c>
      <c r="D148" s="66"/>
      <c r="E148" s="281" cm="1">
        <f t="array" ref="E148">IF(_xll.BDP(Hub!$D$4,$B148,"EQY_FUND_RELATIVE_PERIOD",E$9, "EQY_FUND_CRNCY", Hub!$D$8, "FA_ADJUSTED", "ADJ")="#N/A N/A", 0, _xll.BDP(Hub!$D$4,$B148,"EQY_FUND_RELATIVE_PERIOD",E$9, "EQY_FUND_CRNCY", Hub!$D$8, "FA_ADJUSTED", "ADJ"))</f>
        <v>45.624000000000002</v>
      </c>
      <c r="F148" s="281" cm="1">
        <f t="array" ref="F148">IF(_xll.BDP(Hub!$D$4,$B148,"EQY_FUND_RELATIVE_PERIOD",F$9, "EQY_FUND_CRNCY", Hub!$D$8, "FA_ADJUSTED", "ADJ")="#N/A N/A", 0, _xll.BDP(Hub!$D$4,$B148,"EQY_FUND_RELATIVE_PERIOD",F$9, "EQY_FUND_CRNCY", Hub!$D$8, "FA_ADJUSTED", "ADJ"))</f>
        <v>-67</v>
      </c>
      <c r="G148" s="281" cm="1">
        <f t="array" ref="G148">IF(_xll.BDP(Hub!$D$4,$B148,"EQY_FUND_RELATIVE_PERIOD",G$9, "EQY_FUND_CRNCY", Hub!$D$8, "FA_ADJUSTED", "ADJ")="#N/A N/A", 0, _xll.BDP(Hub!$D$4,$B148,"EQY_FUND_RELATIVE_PERIOD",G$9, "EQY_FUND_CRNCY", Hub!$D$8, "FA_ADJUSTED", "ADJ"))</f>
        <v>-3</v>
      </c>
      <c r="H148" s="281" cm="1">
        <f t="array" ref="H148">IF(_xll.BDP(Hub!$D$4,$B148,"EQY_FUND_RELATIVE_PERIOD",H$9, "EQY_FUND_CRNCY", Hub!$D$8, "FA_ADJUSTED", "ADJ")="#N/A N/A", 0, _xll.BDP(Hub!$D$4,$B148,"EQY_FUND_RELATIVE_PERIOD",H$9, "EQY_FUND_CRNCY", Hub!$D$8, "FA_ADJUSTED", "ADJ"))</f>
        <v>7</v>
      </c>
      <c r="I148" s="281" cm="1">
        <f t="array" ref="I148">IF(_xll.BDP(Hub!$D$4,$B148,"EQY_FUND_RELATIVE_PERIOD",I$9, "EQY_FUND_CRNCY", Hub!$D$8, "FA_ADJUSTED", "ADJ")="#N/A N/A", 0, _xll.BDP(Hub!$D$4,$B148,"EQY_FUND_RELATIVE_PERIOD",I$9, "EQY_FUND_CRNCY", Hub!$D$8, "FA_ADJUSTED", "ADJ"))</f>
        <v>23</v>
      </c>
      <c r="J148" s="258" t="e">
        <f ca="1">DCF!$D$11*Operating_Model!J142</f>
        <v>#DIV/0!</v>
      </c>
      <c r="K148" s="258" t="e">
        <f ca="1">DCF!$D$11*Operating_Model!K142</f>
        <v>#DIV/0!</v>
      </c>
      <c r="L148" s="258" t="e">
        <f ca="1">DCF!$D$11*Operating_Model!L142</f>
        <v>#DIV/0!</v>
      </c>
      <c r="M148" s="258" t="e">
        <f ca="1">DCF!$D$11*Operating_Model!M142</f>
        <v>#DIV/0!</v>
      </c>
      <c r="N148" s="258" t="e">
        <f ca="1">DCF!$D$11*Operating_Model!N142</f>
        <v>#DIV/0!</v>
      </c>
      <c r="O148" s="258" t="e">
        <f ca="1">DCF!$D$11*Operating_Model!O142</f>
        <v>#DIV/0!</v>
      </c>
      <c r="P148" s="258" t="e">
        <f ca="1">DCF!$D$11*Operating_Model!P142</f>
        <v>#DIV/0!</v>
      </c>
      <c r="Q148" s="258" t="e">
        <f ca="1">DCF!$D$11*Operating_Model!Q142</f>
        <v>#DIV/0!</v>
      </c>
      <c r="R148" s="258" t="e">
        <f ca="1">DCF!$D$11*Operating_Model!R142</f>
        <v>#DIV/0!</v>
      </c>
      <c r="S148" s="258" t="e">
        <f ca="1">DCF!$D$11*Operating_Model!S142</f>
        <v>#DIV/0!</v>
      </c>
    </row>
    <row r="149" spans="2:36" x14ac:dyDescent="0.25">
      <c r="B149" t="s">
        <v>439</v>
      </c>
      <c r="C149" t="s">
        <v>434</v>
      </c>
      <c r="D149" s="66"/>
      <c r="E149" s="281" cm="1">
        <f t="array" ref="E149">IF(_xll.BDP(Hub!$D$4,$B149,"EQY_FUND_RELATIVE_PERIOD",E$9, "EQY_FUND_CRNCY", Hub!$D$8, "FA_ADJUSTED", "ADJ")="#N/A N/A", 0, _xll.BDP(Hub!$D$4,$B149,"EQY_FUND_RELATIVE_PERIOD",E$9, "EQY_FUND_CRNCY", Hub!$D$8, "FA_ADJUSTED", "ADJ"))</f>
        <v>-1.647</v>
      </c>
      <c r="F149" s="281" cm="1">
        <f t="array" ref="F149">IF(_xll.BDP(Hub!$D$4,$B149,"EQY_FUND_RELATIVE_PERIOD",F$9, "EQY_FUND_CRNCY", Hub!$D$8, "FA_ADJUSTED", "ADJ")="#N/A N/A", 0, _xll.BDP(Hub!$D$4,$B149,"EQY_FUND_RELATIVE_PERIOD",F$9, "EQY_FUND_CRNCY", Hub!$D$8, "FA_ADJUSTED", "ADJ"))</f>
        <v>199</v>
      </c>
      <c r="G149" s="281" cm="1">
        <f t="array" ref="G149">IF(_xll.BDP(Hub!$D$4,$B149,"EQY_FUND_RELATIVE_PERIOD",G$9, "EQY_FUND_CRNCY", Hub!$D$8, "FA_ADJUSTED", "ADJ")="#N/A N/A", 0, _xll.BDP(Hub!$D$4,$B149,"EQY_FUND_RELATIVE_PERIOD",G$9, "EQY_FUND_CRNCY", Hub!$D$8, "FA_ADJUSTED", "ADJ"))</f>
        <v>-280</v>
      </c>
      <c r="H149" s="281" cm="1">
        <f t="array" ref="H149">IF(_xll.BDP(Hub!$D$4,$B149,"EQY_FUND_RELATIVE_PERIOD",H$9, "EQY_FUND_CRNCY", Hub!$D$8, "FA_ADJUSTED", "ADJ")="#N/A N/A", 0, _xll.BDP(Hub!$D$4,$B149,"EQY_FUND_RELATIVE_PERIOD",H$9, "EQY_FUND_CRNCY", Hub!$D$8, "FA_ADJUSTED", "ADJ"))</f>
        <v>-48</v>
      </c>
      <c r="I149" s="281" cm="1">
        <f t="array" ref="I149">IF(_xll.BDP(Hub!$D$4,$B149,"EQY_FUND_RELATIVE_PERIOD",I$9, "EQY_FUND_CRNCY", Hub!$D$8, "FA_ADJUSTED", "ADJ")="#N/A N/A", 0, _xll.BDP(Hub!$D$4,$B149,"EQY_FUND_RELATIVE_PERIOD",I$9, "EQY_FUND_CRNCY", Hub!$D$8, "FA_ADJUSTED", "ADJ"))</f>
        <v>-911</v>
      </c>
      <c r="J149" s="258">
        <f t="shared" ref="J149:S150" ca="1" si="434">IFERROR(IF(RSQ($E149:$I149,$E$7:$I$7)&gt;0.5, (SLOPE($E149:$I149,$E$7:$I$7)+I149)*RSQ($E149:$I149,$E$7:$I$7)+(AVERAGE($E149:$I149)*(1-RSQ($E149:$I149,$E$7:$I$7))), AVERAGE($E149:$I149)),0)</f>
        <v>-737.48090791314394</v>
      </c>
      <c r="K149" s="258">
        <f t="shared" ca="1" si="434"/>
        <v>-636.49792426757267</v>
      </c>
      <c r="L149" s="258">
        <f t="shared" ca="1" si="434"/>
        <v>-577.72881210061155</v>
      </c>
      <c r="M149" s="258">
        <f t="shared" ca="1" si="434"/>
        <v>-543.52692560243679</v>
      </c>
      <c r="N149" s="258">
        <f t="shared" ca="1" si="434"/>
        <v>-523.62243841687655</v>
      </c>
      <c r="O149" s="258">
        <f t="shared" ca="1" si="434"/>
        <v>-512.03861510522177</v>
      </c>
      <c r="P149" s="258">
        <f t="shared" ca="1" si="434"/>
        <v>-505.29717227051344</v>
      </c>
      <c r="Q149" s="258">
        <f t="shared" ca="1" si="434"/>
        <v>-501.37385176821311</v>
      </c>
      <c r="R149" s="258">
        <f t="shared" ca="1" si="434"/>
        <v>-499.09059518039163</v>
      </c>
      <c r="S149" s="258">
        <f t="shared" ca="1" si="434"/>
        <v>-497.76180732256199</v>
      </c>
    </row>
    <row r="150" spans="2:36" x14ac:dyDescent="0.25">
      <c r="B150" t="s">
        <v>438</v>
      </c>
      <c r="C150" t="s">
        <v>435</v>
      </c>
      <c r="D150" s="66"/>
      <c r="E150" s="281" cm="1">
        <f t="array" ref="E150">IF(_xll.BDP(Hub!$D$4,$B150,"EQY_FUND_RELATIVE_PERIOD",E$9, "EQY_FUND_CRNCY", Hub!$D$8, "FA_ADJUSTED", "ADJ")="#N/A N/A", 0, _xll.BDP(Hub!$D$4,$B150,"EQY_FUND_RELATIVE_PERIOD",E$9, "EQY_FUND_CRNCY", Hub!$D$8, "FA_ADJUSTED", "ADJ"))</f>
        <v>-7.3054799999999993</v>
      </c>
      <c r="F150" s="281" cm="1">
        <f t="array" ref="F150">IF(_xll.BDP(Hub!$D$4,$B150,"EQY_FUND_RELATIVE_PERIOD",F$9, "EQY_FUND_CRNCY", Hub!$D$8, "FA_ADJUSTED", "ADJ")="#N/A N/A", 0, _xll.BDP(Hub!$D$4,$B150,"EQY_FUND_RELATIVE_PERIOD",F$9, "EQY_FUND_CRNCY", Hub!$D$8, "FA_ADJUSTED", "ADJ"))</f>
        <v>-117.17999999999999</v>
      </c>
      <c r="G150" s="281" cm="1">
        <f t="array" ref="G150">IF(_xll.BDP(Hub!$D$4,$B150,"EQY_FUND_RELATIVE_PERIOD",G$9, "EQY_FUND_CRNCY", Hub!$D$8, "FA_ADJUSTED", "ADJ")="#N/A N/A", 0, _xll.BDP(Hub!$D$4,$B150,"EQY_FUND_RELATIVE_PERIOD",G$9, "EQY_FUND_CRNCY", Hub!$D$8, "FA_ADJUSTED", "ADJ"))</f>
        <v>-66.36</v>
      </c>
      <c r="H150" s="281" cm="1">
        <f t="array" ref="H150">IF(_xll.BDP(Hub!$D$4,$B150,"EQY_FUND_RELATIVE_PERIOD",H$9, "EQY_FUND_CRNCY", Hub!$D$8, "FA_ADJUSTED", "ADJ")="#N/A N/A", 0, _xll.BDP(Hub!$D$4,$B150,"EQY_FUND_RELATIVE_PERIOD",H$9, "EQY_FUND_CRNCY", Hub!$D$8, "FA_ADJUSTED", "ADJ"))</f>
        <v>-43.47</v>
      </c>
      <c r="I150" s="281" cm="1">
        <f t="array" ref="I150">IF(_xll.BDP(Hub!$D$4,$B150,"EQY_FUND_RELATIVE_PERIOD",I$9, "EQY_FUND_CRNCY", Hub!$D$8, "FA_ADJUSTED", "ADJ")="#N/A N/A", 0, _xll.BDP(Hub!$D$4,$B150,"EQY_FUND_RELATIVE_PERIOD",I$9, "EQY_FUND_CRNCY", Hub!$D$8, "FA_ADJUSTED", "ADJ"))</f>
        <v>-59.22</v>
      </c>
      <c r="J150" s="258">
        <f t="shared" ca="1" si="434"/>
        <v>-58.707096</v>
      </c>
      <c r="K150" s="258">
        <f t="shared" ca="1" si="434"/>
        <v>-58.707096</v>
      </c>
      <c r="L150" s="258">
        <f t="shared" ca="1" si="434"/>
        <v>-58.707096</v>
      </c>
      <c r="M150" s="258">
        <f t="shared" ca="1" si="434"/>
        <v>-58.707096</v>
      </c>
      <c r="N150" s="258">
        <f t="shared" ca="1" si="434"/>
        <v>-58.707096</v>
      </c>
      <c r="O150" s="258">
        <f t="shared" ca="1" si="434"/>
        <v>-58.707096</v>
      </c>
      <c r="P150" s="258">
        <f t="shared" ca="1" si="434"/>
        <v>-58.707096</v>
      </c>
      <c r="Q150" s="258">
        <f t="shared" ca="1" si="434"/>
        <v>-58.707096</v>
      </c>
      <c r="R150" s="258">
        <f t="shared" ca="1" si="434"/>
        <v>-58.707096</v>
      </c>
      <c r="S150" s="258">
        <f t="shared" ca="1" si="434"/>
        <v>-58.707096</v>
      </c>
      <c r="U150" t="s">
        <v>472</v>
      </c>
    </row>
    <row r="151" spans="2:36" x14ac:dyDescent="0.25">
      <c r="C151" s="101" t="s">
        <v>436</v>
      </c>
      <c r="D151" s="102"/>
      <c r="E151" s="259">
        <f>E148+E149-E150</f>
        <v>51.282480000000007</v>
      </c>
      <c r="F151" s="259">
        <f t="shared" ref="F151:S151" si="435">F148+F149-F150</f>
        <v>249.18</v>
      </c>
      <c r="G151" s="259">
        <f t="shared" si="435"/>
        <v>-216.64</v>
      </c>
      <c r="H151" s="259">
        <f t="shared" si="435"/>
        <v>2.4699999999999989</v>
      </c>
      <c r="I151" s="259">
        <f t="shared" si="435"/>
        <v>-828.78</v>
      </c>
      <c r="J151" s="259" t="e">
        <f t="shared" ca="1" si="435"/>
        <v>#DIV/0!</v>
      </c>
      <c r="K151" s="259" t="e">
        <f t="shared" ca="1" si="435"/>
        <v>#DIV/0!</v>
      </c>
      <c r="L151" s="259" t="e">
        <f t="shared" ca="1" si="435"/>
        <v>#DIV/0!</v>
      </c>
      <c r="M151" s="259" t="e">
        <f t="shared" ca="1" si="435"/>
        <v>#DIV/0!</v>
      </c>
      <c r="N151" s="259" t="e">
        <f t="shared" ca="1" si="435"/>
        <v>#DIV/0!</v>
      </c>
      <c r="O151" s="259" t="e">
        <f t="shared" ca="1" si="435"/>
        <v>#DIV/0!</v>
      </c>
      <c r="P151" s="259" t="e">
        <f t="shared" ca="1" si="435"/>
        <v>#DIV/0!</v>
      </c>
      <c r="Q151" s="259" t="e">
        <f t="shared" ca="1" si="435"/>
        <v>#DIV/0!</v>
      </c>
      <c r="R151" s="259" t="e">
        <f t="shared" ca="1" si="435"/>
        <v>#DIV/0!</v>
      </c>
      <c r="S151" s="259" t="e">
        <f t="shared" ca="1" si="435"/>
        <v>#DIV/0!</v>
      </c>
    </row>
    <row r="152" spans="2:36" x14ac:dyDescent="0.25">
      <c r="C152" s="11" t="s">
        <v>84</v>
      </c>
      <c r="E152" s="103" t="s">
        <v>85</v>
      </c>
      <c r="F152" s="103">
        <f>((F151-E151)/E151)</f>
        <v>3.8589693790159907</v>
      </c>
      <c r="G152" s="103">
        <f t="shared" ref="G152" si="436">((G151-F151)/F151)</f>
        <v>-1.8694116702785135</v>
      </c>
      <c r="H152" s="103">
        <f t="shared" ref="H152" si="437">((H151-G151)/G151)</f>
        <v>-1.0114014032496308</v>
      </c>
      <c r="I152" s="103">
        <f t="shared" ref="I152" si="438">((I151-H151)/H151)</f>
        <v>-336.53846153846172</v>
      </c>
      <c r="J152" s="103" t="e">
        <f t="shared" ref="J152" ca="1" si="439">((J151-I151)/I151)</f>
        <v>#DIV/0!</v>
      </c>
      <c r="K152" s="103" t="e">
        <f t="shared" ref="K152" ca="1" si="440">((K151-J151)/J151)</f>
        <v>#DIV/0!</v>
      </c>
      <c r="L152" s="103" t="e">
        <f t="shared" ref="L152" ca="1" si="441">((L151-K151)/K151)</f>
        <v>#DIV/0!</v>
      </c>
      <c r="M152" s="103" t="e">
        <f t="shared" ref="M152" ca="1" si="442">((M151-L151)/L151)</f>
        <v>#DIV/0!</v>
      </c>
      <c r="N152" s="103" t="e">
        <f t="shared" ref="N152" ca="1" si="443">((N151-M151)/M151)</f>
        <v>#DIV/0!</v>
      </c>
      <c r="O152" s="103" t="e">
        <f t="shared" ref="O152" ca="1" si="444">((O151-N151)/N151)</f>
        <v>#DIV/0!</v>
      </c>
      <c r="P152" s="103" t="e">
        <f t="shared" ref="P152" ca="1" si="445">((P151-O151)/O151)</f>
        <v>#DIV/0!</v>
      </c>
      <c r="Q152" s="103" t="e">
        <f t="shared" ref="Q152" ca="1" si="446">((Q151-P151)/P151)</f>
        <v>#DIV/0!</v>
      </c>
      <c r="R152" s="103" t="e">
        <f t="shared" ref="R152" ca="1" si="447">((R151-Q151)/Q151)</f>
        <v>#DIV/0!</v>
      </c>
      <c r="S152" s="103" t="e">
        <f t="shared" ref="S152" ca="1" si="448">((S151-R151)/R151)</f>
        <v>#DIV/0!</v>
      </c>
    </row>
    <row r="153" spans="2:36" x14ac:dyDescent="0.25">
      <c r="C153" s="11"/>
      <c r="E153" s="103"/>
      <c r="F153" s="103"/>
      <c r="G153" s="103"/>
      <c r="H153" s="103"/>
      <c r="I153" s="103"/>
      <c r="J153" s="103"/>
      <c r="K153" s="103"/>
      <c r="L153" s="103"/>
      <c r="M153" s="103"/>
      <c r="N153" s="103"/>
      <c r="O153" s="103"/>
      <c r="P153" s="103"/>
      <c r="Q153" s="103"/>
      <c r="R153" s="103"/>
      <c r="S153" s="103"/>
    </row>
    <row r="154" spans="2:36" x14ac:dyDescent="0.25">
      <c r="C154" s="11"/>
      <c r="E154" s="103"/>
      <c r="F154" s="103"/>
      <c r="G154" s="103"/>
      <c r="H154" s="103"/>
      <c r="I154" s="103"/>
      <c r="J154" s="103"/>
      <c r="K154" s="103"/>
      <c r="L154" s="103"/>
      <c r="M154" s="103"/>
      <c r="N154" s="103"/>
      <c r="O154" s="103"/>
      <c r="P154" s="103"/>
      <c r="Q154" s="103"/>
      <c r="R154" s="103"/>
      <c r="S154" s="103"/>
    </row>
    <row r="155" spans="2:36" x14ac:dyDescent="0.25">
      <c r="B155" t="s">
        <v>442</v>
      </c>
      <c r="C155" t="s">
        <v>441</v>
      </c>
      <c r="D155" s="66"/>
      <c r="E155" s="281" cm="1">
        <f t="array" ref="E155">IF(_xll.BDP(Hub!$D$4,$B155,"EQY_FUND_RELATIVE_PERIOD",E$9, "EQY_FUND_CRNCY", Hub!$D$8, "FA_ADJUSTED", "ADJ")="#N/A N/A", 0, _xll.BDP(Hub!$D$4,$B155,"EQY_FUND_RELATIVE_PERIOD",E$9, "EQY_FUND_CRNCY", Hub!$D$8, "FA_ADJUSTED", "ADJ"))</f>
        <v>0</v>
      </c>
      <c r="F155" s="281" cm="1">
        <f t="array" ref="F155">IF(_xll.BDP(Hub!$D$4,$B155,"EQY_FUND_RELATIVE_PERIOD",F$9, "EQY_FUND_CRNCY", Hub!$D$8, "FA_ADJUSTED", "ADJ")="#N/A N/A", 0, _xll.BDP(Hub!$D$4,$B155,"EQY_FUND_RELATIVE_PERIOD",F$9, "EQY_FUND_CRNCY", Hub!$D$8, "FA_ADJUSTED", "ADJ"))</f>
        <v>-1</v>
      </c>
      <c r="G155" s="281" cm="1">
        <f t="array" ref="G155">IF(_xll.BDP(Hub!$D$4,$B155,"EQY_FUND_RELATIVE_PERIOD",G$9, "EQY_FUND_CRNCY", Hub!$D$8, "FA_ADJUSTED", "ADJ")="#N/A N/A", 0, _xll.BDP(Hub!$D$4,$B155,"EQY_FUND_RELATIVE_PERIOD",G$9, "EQY_FUND_CRNCY", Hub!$D$8, "FA_ADJUSTED", "ADJ"))</f>
        <v>3</v>
      </c>
      <c r="H155" s="281" cm="1">
        <f t="array" ref="H155">IF(_xll.BDP(Hub!$D$4,$B155,"EQY_FUND_RELATIVE_PERIOD",H$9, "EQY_FUND_CRNCY", Hub!$D$8, "FA_ADJUSTED", "ADJ")="#N/A N/A", 0, _xll.BDP(Hub!$D$4,$B155,"EQY_FUND_RELATIVE_PERIOD",H$9, "EQY_FUND_CRNCY", Hub!$D$8, "FA_ADJUSTED", "ADJ"))</f>
        <v>-11</v>
      </c>
      <c r="I155" s="281" cm="1">
        <f t="array" ref="I155">IF(_xll.BDP(Hub!$D$4,$B155,"EQY_FUND_RELATIVE_PERIOD",I$9, "EQY_FUND_CRNCY", Hub!$D$8, "FA_ADJUSTED", "ADJ")="#N/A N/A", 0, _xll.BDP(Hub!$D$4,$B155,"EQY_FUND_RELATIVE_PERIOD",I$9, "EQY_FUND_CRNCY", Hub!$D$8, "FA_ADJUSTED", "ADJ"))</f>
        <v>42</v>
      </c>
      <c r="J155" s="258">
        <f t="shared" ref="J155:S155" ca="1" si="449">IFERROR(IF(RSQ($E155:$I155,$E$7:$I$7)&gt;0.5, (SLOPE($E155:$I155,$E$7:$I$7)+I155)*RSQ($E155:$I155,$E$7:$I$7)+(AVERAGE($E155:$I155)*(1-RSQ($E155:$I155,$E$7:$I$7))), AVERAGE($E155:$I155)),0)</f>
        <v>6.6</v>
      </c>
      <c r="K155" s="258">
        <f t="shared" ca="1" si="449"/>
        <v>6.6</v>
      </c>
      <c r="L155" s="258">
        <f t="shared" ca="1" si="449"/>
        <v>6.6</v>
      </c>
      <c r="M155" s="258">
        <f t="shared" ca="1" si="449"/>
        <v>6.6</v>
      </c>
      <c r="N155" s="258">
        <f t="shared" ca="1" si="449"/>
        <v>6.6</v>
      </c>
      <c r="O155" s="258">
        <f t="shared" ca="1" si="449"/>
        <v>6.6</v>
      </c>
      <c r="P155" s="258">
        <f t="shared" ca="1" si="449"/>
        <v>6.6</v>
      </c>
      <c r="Q155" s="258">
        <f t="shared" ca="1" si="449"/>
        <v>6.6</v>
      </c>
      <c r="R155" s="258">
        <f t="shared" ca="1" si="449"/>
        <v>6.6</v>
      </c>
      <c r="S155" s="258">
        <f t="shared" ca="1" si="449"/>
        <v>6.6</v>
      </c>
      <c r="Z155" s="71"/>
      <c r="AA155" s="71"/>
      <c r="AB155" s="71"/>
      <c r="AC155" s="71"/>
      <c r="AD155" s="71"/>
      <c r="AE155" s="71"/>
      <c r="AF155" s="71"/>
      <c r="AG155" s="71"/>
      <c r="AH155" s="71"/>
      <c r="AI155" s="71"/>
      <c r="AJ155" s="71"/>
    </row>
    <row r="156" spans="2:36" x14ac:dyDescent="0.25">
      <c r="C156" s="101" t="s">
        <v>422</v>
      </c>
      <c r="D156" s="102"/>
      <c r="E156" s="331">
        <f>E155</f>
        <v>0</v>
      </c>
      <c r="F156" s="331">
        <f t="shared" ref="F156:S156" si="450">F155</f>
        <v>-1</v>
      </c>
      <c r="G156" s="331">
        <f t="shared" si="450"/>
        <v>3</v>
      </c>
      <c r="H156" s="331">
        <f t="shared" si="450"/>
        <v>-11</v>
      </c>
      <c r="I156" s="331">
        <f t="shared" si="450"/>
        <v>42</v>
      </c>
      <c r="J156" s="331">
        <f t="shared" ca="1" si="450"/>
        <v>6.6</v>
      </c>
      <c r="K156" s="331">
        <f t="shared" ca="1" si="450"/>
        <v>6.6</v>
      </c>
      <c r="L156" s="331">
        <f t="shared" ca="1" si="450"/>
        <v>6.6</v>
      </c>
      <c r="M156" s="331">
        <f t="shared" ca="1" si="450"/>
        <v>6.6</v>
      </c>
      <c r="N156" s="331">
        <f t="shared" ca="1" si="450"/>
        <v>6.6</v>
      </c>
      <c r="O156" s="331">
        <f t="shared" ca="1" si="450"/>
        <v>6.6</v>
      </c>
      <c r="P156" s="331">
        <f t="shared" ca="1" si="450"/>
        <v>6.6</v>
      </c>
      <c r="Q156" s="331">
        <f t="shared" ca="1" si="450"/>
        <v>6.6</v>
      </c>
      <c r="R156" s="331">
        <f t="shared" ca="1" si="450"/>
        <v>6.6</v>
      </c>
      <c r="S156" s="331">
        <f t="shared" ca="1" si="450"/>
        <v>6.6</v>
      </c>
      <c r="Z156" s="71"/>
      <c r="AA156" s="71"/>
      <c r="AB156" s="71"/>
      <c r="AC156" s="71"/>
      <c r="AD156" s="71"/>
      <c r="AE156" s="71"/>
      <c r="AF156" s="71"/>
      <c r="AG156" s="71"/>
      <c r="AH156" s="71"/>
      <c r="AI156" s="71"/>
      <c r="AJ156" s="71"/>
    </row>
    <row r="157" spans="2:36" x14ac:dyDescent="0.25">
      <c r="C157" s="11" t="s">
        <v>84</v>
      </c>
      <c r="D157" s="66"/>
      <c r="E157" s="103" t="s">
        <v>85</v>
      </c>
      <c r="F157" s="103" t="e">
        <f t="shared" ref="F157" si="451">((F156-E156)/E156)</f>
        <v>#DIV/0!</v>
      </c>
      <c r="G157" s="103">
        <f t="shared" ref="G157" si="452">((G156-F156)/F156)</f>
        <v>-4</v>
      </c>
      <c r="H157" s="103">
        <f t="shared" ref="H157" si="453">((H156-G156)/G156)</f>
        <v>-4.666666666666667</v>
      </c>
      <c r="I157" s="103">
        <f t="shared" ref="I157" si="454">((I156-H156)/H156)</f>
        <v>-4.8181818181818183</v>
      </c>
      <c r="J157" s="103">
        <f t="shared" ref="J157" ca="1" si="455">((J156-I156)/I156)</f>
        <v>-0.84285714285714286</v>
      </c>
      <c r="K157" s="103">
        <f t="shared" ref="K157" ca="1" si="456">((K156-J156)/J156)</f>
        <v>0</v>
      </c>
      <c r="L157" s="103">
        <f t="shared" ref="L157" ca="1" si="457">((L156-K156)/K156)</f>
        <v>0</v>
      </c>
      <c r="M157" s="103">
        <f t="shared" ref="M157" ca="1" si="458">((M156-L156)/L156)</f>
        <v>0</v>
      </c>
      <c r="N157" s="103">
        <f t="shared" ref="N157" ca="1" si="459">((N156-M156)/M156)</f>
        <v>0</v>
      </c>
      <c r="O157" s="103">
        <f t="shared" ref="O157" ca="1" si="460">((O156-N156)/N156)</f>
        <v>0</v>
      </c>
      <c r="P157" s="103">
        <f t="shared" ref="P157" ca="1" si="461">((P156-O156)/O156)</f>
        <v>0</v>
      </c>
      <c r="Q157" s="103">
        <f t="shared" ref="Q157" ca="1" si="462">((Q156-P156)/P156)</f>
        <v>0</v>
      </c>
      <c r="R157" s="103">
        <f t="shared" ref="R157" ca="1" si="463">((R156-Q156)/Q156)</f>
        <v>0</v>
      </c>
      <c r="S157" s="103">
        <f t="shared" ref="S157" ca="1" si="464">((S156-R156)/R156)</f>
        <v>0</v>
      </c>
      <c r="Z157" s="71"/>
      <c r="AA157" s="71"/>
      <c r="AB157" s="71"/>
      <c r="AC157" s="71"/>
      <c r="AD157" s="71"/>
      <c r="AE157" s="71"/>
      <c r="AF157" s="71"/>
      <c r="AG157" s="71"/>
      <c r="AH157" s="71"/>
      <c r="AI157" s="71"/>
      <c r="AJ157" s="71"/>
    </row>
    <row r="158" spans="2:36" x14ac:dyDescent="0.25">
      <c r="C158" s="11"/>
      <c r="E158" s="103"/>
      <c r="F158" s="103"/>
      <c r="G158" s="103"/>
      <c r="H158" s="103"/>
      <c r="I158" s="103"/>
      <c r="J158" s="103"/>
      <c r="K158" s="103"/>
      <c r="L158" s="103"/>
      <c r="M158" s="103"/>
      <c r="N158" s="103"/>
      <c r="O158" s="103"/>
      <c r="P158" s="103"/>
      <c r="Q158" s="103"/>
      <c r="R158" s="103"/>
      <c r="S158" s="103"/>
    </row>
    <row r="159" spans="2:36" x14ac:dyDescent="0.25">
      <c r="C159" s="10"/>
      <c r="D159" s="66"/>
      <c r="E159" s="66"/>
      <c r="F159" s="66"/>
      <c r="G159" s="66"/>
      <c r="H159" s="66"/>
      <c r="I159" s="66"/>
      <c r="J159" s="66"/>
      <c r="K159" s="66"/>
      <c r="L159" s="66"/>
      <c r="M159" s="66"/>
      <c r="N159" s="66"/>
      <c r="O159" s="66"/>
      <c r="P159" s="66"/>
      <c r="Q159" s="66"/>
      <c r="R159" s="66"/>
      <c r="S159" s="66"/>
    </row>
    <row r="160" spans="2:36" x14ac:dyDescent="0.25">
      <c r="C160" s="101" t="s">
        <v>144</v>
      </c>
      <c r="D160" s="102"/>
      <c r="E160" s="259">
        <f>E142-E151-E156</f>
        <v>1248.4455199999998</v>
      </c>
      <c r="F160" s="259">
        <f t="shared" ref="F160:S160" si="465">F142-F151-F156</f>
        <v>409.82</v>
      </c>
      <c r="G160" s="259">
        <f t="shared" si="465"/>
        <v>3534.64</v>
      </c>
      <c r="H160" s="259">
        <f t="shared" si="465"/>
        <v>4640.53</v>
      </c>
      <c r="I160" s="259">
        <f t="shared" si="465"/>
        <v>5969.78</v>
      </c>
      <c r="J160" s="259" t="e">
        <f t="shared" ca="1" si="465"/>
        <v>#DIV/0!</v>
      </c>
      <c r="K160" s="259" t="e">
        <f t="shared" ca="1" si="465"/>
        <v>#DIV/0!</v>
      </c>
      <c r="L160" s="259" t="e">
        <f t="shared" ca="1" si="465"/>
        <v>#DIV/0!</v>
      </c>
      <c r="M160" s="259" t="e">
        <f t="shared" ca="1" si="465"/>
        <v>#DIV/0!</v>
      </c>
      <c r="N160" s="259" t="e">
        <f t="shared" ca="1" si="465"/>
        <v>#DIV/0!</v>
      </c>
      <c r="O160" s="259" t="e">
        <f t="shared" ca="1" si="465"/>
        <v>#DIV/0!</v>
      </c>
      <c r="P160" s="259" t="e">
        <f t="shared" ca="1" si="465"/>
        <v>#DIV/0!</v>
      </c>
      <c r="Q160" s="259" t="e">
        <f t="shared" ca="1" si="465"/>
        <v>#DIV/0!</v>
      </c>
      <c r="R160" s="259" t="e">
        <f t="shared" ca="1" si="465"/>
        <v>#DIV/0!</v>
      </c>
      <c r="S160" s="259" t="e">
        <f t="shared" ca="1" si="465"/>
        <v>#DIV/0!</v>
      </c>
    </row>
    <row r="161" spans="2:19" x14ac:dyDescent="0.25">
      <c r="C161" s="11" t="s">
        <v>84</v>
      </c>
      <c r="E161" s="103" t="s">
        <v>85</v>
      </c>
      <c r="F161" s="103">
        <f>((F160-E160)/E160)</f>
        <v>-0.67173577586309097</v>
      </c>
      <c r="G161" s="103">
        <f t="shared" ref="G161" si="466">((G160-F160)/F160)</f>
        <v>7.6248596945000235</v>
      </c>
      <c r="H161" s="103">
        <f t="shared" ref="H161" si="467">((H160-G160)/G160)</f>
        <v>0.31287203222959054</v>
      </c>
      <c r="I161" s="103">
        <f t="shared" ref="I161" si="468">((I160-H160)/H160)</f>
        <v>0.28644357433310419</v>
      </c>
      <c r="J161" s="103" t="e">
        <f t="shared" ref="J161" ca="1" si="469">((J160-I160)/I160)</f>
        <v>#DIV/0!</v>
      </c>
      <c r="K161" s="103" t="e">
        <f t="shared" ref="K161" ca="1" si="470">((K160-J160)/J160)</f>
        <v>#DIV/0!</v>
      </c>
      <c r="L161" s="103" t="e">
        <f t="shared" ref="L161" ca="1" si="471">((L160-K160)/K160)</f>
        <v>#DIV/0!</v>
      </c>
      <c r="M161" s="103" t="e">
        <f t="shared" ref="M161" ca="1" si="472">((M160-L160)/L160)</f>
        <v>#DIV/0!</v>
      </c>
      <c r="N161" s="103" t="e">
        <f t="shared" ref="N161" ca="1" si="473">((N160-M160)/M160)</f>
        <v>#DIV/0!</v>
      </c>
      <c r="O161" s="103" t="e">
        <f t="shared" ref="O161" ca="1" si="474">((O160-N160)/N160)</f>
        <v>#DIV/0!</v>
      </c>
      <c r="P161" s="103" t="e">
        <f t="shared" ref="P161" ca="1" si="475">((P160-O160)/O160)</f>
        <v>#DIV/0!</v>
      </c>
      <c r="Q161" s="103" t="e">
        <f t="shared" ref="Q161" ca="1" si="476">((Q160-P160)/P160)</f>
        <v>#DIV/0!</v>
      </c>
      <c r="R161" s="103" t="e">
        <f t="shared" ref="R161" ca="1" si="477">((R160-Q160)/Q160)</f>
        <v>#DIV/0!</v>
      </c>
      <c r="S161" s="103" t="e">
        <f t="shared" ref="S161" ca="1" si="478">((S160-R160)/R160)</f>
        <v>#DIV/0!</v>
      </c>
    </row>
    <row r="164" spans="2:19" x14ac:dyDescent="0.25">
      <c r="B164" t="s">
        <v>447</v>
      </c>
      <c r="C164" t="s">
        <v>443</v>
      </c>
      <c r="E164" s="281" cm="1">
        <f t="array" ref="E164">IF(_xll.BDP(Hub!$D$4,$B164,"EQY_FUND_RELATIVE_PERIOD",E$9, "EQY_FUND_CRNCY", Hub!$D$8, "FA_ADJUSTED", "ADJ")="#N/A N/A", 0, _xll.BDP(Hub!$D$4,$B164,"EQY_FUND_RELATIVE_PERIOD",E$9, "EQY_FUND_CRNCY", Hub!$D$8, "FA_ADJUSTED", "ADJ"))</f>
        <v>0</v>
      </c>
      <c r="F164" s="281" cm="1">
        <f t="array" ref="F164">IF(_xll.BDP(Hub!$D$4,$B164,"EQY_FUND_RELATIVE_PERIOD",F$9, "EQY_FUND_CRNCY", Hub!$D$8, "FA_ADJUSTED", "ADJ")="#N/A N/A", 0, _xll.BDP(Hub!$D$4,$B164,"EQY_FUND_RELATIVE_PERIOD",F$9, "EQY_FUND_CRNCY", Hub!$D$8, "FA_ADJUSTED", "ADJ"))</f>
        <v>0</v>
      </c>
      <c r="G164" s="281" cm="1">
        <f t="array" ref="G164">IF(_xll.BDP(Hub!$D$4,$B164,"EQY_FUND_RELATIVE_PERIOD",G$9, "EQY_FUND_CRNCY", Hub!$D$8, "FA_ADJUSTED", "ADJ")="#N/A N/A", 0, _xll.BDP(Hub!$D$4,$B164,"EQY_FUND_RELATIVE_PERIOD",G$9, "EQY_FUND_CRNCY", Hub!$D$8, "FA_ADJUSTED", "ADJ"))</f>
        <v>0</v>
      </c>
      <c r="H164" s="281" cm="1">
        <f t="array" ref="H164">IF(_xll.BDP(Hub!$D$4,$B164,"EQY_FUND_RELATIVE_PERIOD",H$9, "EQY_FUND_CRNCY", Hub!$D$8, "FA_ADJUSTED", "ADJ")="#N/A N/A", 0, _xll.BDP(Hub!$D$4,$B164,"EQY_FUND_RELATIVE_PERIOD",H$9, "EQY_FUND_CRNCY", Hub!$D$8, "FA_ADJUSTED", "ADJ"))</f>
        <v>0</v>
      </c>
      <c r="I164" s="281" cm="1">
        <f t="array" ref="I164">IF(_xll.BDP(Hub!$D$4,$B164,"EQY_FUND_RELATIVE_PERIOD",I$9, "EQY_FUND_CRNCY", Hub!$D$8, "FA_ADJUSTED", "ADJ")="#N/A N/A", 0, _xll.BDP(Hub!$D$4,$B164,"EQY_FUND_RELATIVE_PERIOD",I$9, "EQY_FUND_CRNCY", Hub!$D$8, "FA_ADJUSTED", "ADJ"))</f>
        <v>0</v>
      </c>
      <c r="J164" s="258">
        <f ca="1">IFERROR(IF(RSQ($E164:$I164,$E$7:$I$7)&gt;0.5, (SLOPE($E164:$I164,$E$7:$I$7)+I164)*RSQ($E164:$I164,$E$7:$I$7)+(AVERAGE($E164:$I164)*(1-RSQ($E164:$I164,$E$7:$I$7))), AVERAGE($E164:$I164)),0)</f>
        <v>0</v>
      </c>
      <c r="K164" s="258">
        <f t="shared" ref="K164:S166" ca="1" si="479">IFERROR(IF(RSQ($E164:$I164,$E$7:$I$7)&gt;0.5, (SLOPE($E164:$I164,$E$7:$I$7)+J164)*RSQ($E164:$I164,$E$7:$I$7)+(AVERAGE($E164:$I164)*(1-RSQ($E164:$I164,$E$7:$I$7))), AVERAGE($E164:$I164)),0)</f>
        <v>0</v>
      </c>
      <c r="L164" s="258">
        <f t="shared" ca="1" si="479"/>
        <v>0</v>
      </c>
      <c r="M164" s="258">
        <f t="shared" ca="1" si="479"/>
        <v>0</v>
      </c>
      <c r="N164" s="258">
        <f t="shared" ca="1" si="479"/>
        <v>0</v>
      </c>
      <c r="O164" s="258">
        <f t="shared" ca="1" si="479"/>
        <v>0</v>
      </c>
      <c r="P164" s="258">
        <f t="shared" ca="1" si="479"/>
        <v>0</v>
      </c>
      <c r="Q164" s="258">
        <f t="shared" ca="1" si="479"/>
        <v>0</v>
      </c>
      <c r="R164" s="258">
        <f t="shared" ca="1" si="479"/>
        <v>0</v>
      </c>
      <c r="S164" s="258">
        <f t="shared" ca="1" si="479"/>
        <v>0</v>
      </c>
    </row>
    <row r="165" spans="2:19" x14ac:dyDescent="0.25">
      <c r="B165" t="s">
        <v>448</v>
      </c>
      <c r="C165" t="s">
        <v>444</v>
      </c>
      <c r="E165" s="281" cm="1">
        <f t="array" ref="E165">IF(_xll.BDP(Hub!$D$4,$B165,"EQY_FUND_RELATIVE_PERIOD",E$9, "EQY_FUND_CRNCY", Hub!$D$8, "FA_ADJUSTED", "ADJ")="#N/A N/A", 0, _xll.BDP(Hub!$D$4,$B165,"EQY_FUND_RELATIVE_PERIOD",E$9, "EQY_FUND_CRNCY", Hub!$D$8, "FA_ADJUSTED", "ADJ"))</f>
        <v>0</v>
      </c>
      <c r="F165" s="281" cm="1">
        <f t="array" ref="F165">IF(_xll.BDP(Hub!$D$4,$B165,"EQY_FUND_RELATIVE_PERIOD",F$9, "EQY_FUND_CRNCY", Hub!$D$8, "FA_ADJUSTED", "ADJ")="#N/A N/A", 0, _xll.BDP(Hub!$D$4,$B165,"EQY_FUND_RELATIVE_PERIOD",F$9, "EQY_FUND_CRNCY", Hub!$D$8, "FA_ADJUSTED", "ADJ"))</f>
        <v>0</v>
      </c>
      <c r="G165" s="281" cm="1">
        <f t="array" ref="G165">IF(_xll.BDP(Hub!$D$4,$B165,"EQY_FUND_RELATIVE_PERIOD",G$9, "EQY_FUND_CRNCY", Hub!$D$8, "FA_ADJUSTED", "ADJ")="#N/A N/A", 0, _xll.BDP(Hub!$D$4,$B165,"EQY_FUND_RELATIVE_PERIOD",G$9, "EQY_FUND_CRNCY", Hub!$D$8, "FA_ADJUSTED", "ADJ"))</f>
        <v>0</v>
      </c>
      <c r="H165" s="281" cm="1">
        <f t="array" ref="H165">IF(_xll.BDP(Hub!$D$4,$B165,"EQY_FUND_RELATIVE_PERIOD",H$9, "EQY_FUND_CRNCY", Hub!$D$8, "FA_ADJUSTED", "ADJ")="#N/A N/A", 0, _xll.BDP(Hub!$D$4,$B165,"EQY_FUND_RELATIVE_PERIOD",H$9, "EQY_FUND_CRNCY", Hub!$D$8, "FA_ADJUSTED", "ADJ"))</f>
        <v>0</v>
      </c>
      <c r="I165" s="281" cm="1">
        <f t="array" ref="I165">IF(_xll.BDP(Hub!$D$4,$B165,"EQY_FUND_RELATIVE_PERIOD",I$9, "EQY_FUND_CRNCY", Hub!$D$8, "FA_ADJUSTED", "ADJ")="#N/A N/A", 0, _xll.BDP(Hub!$D$4,$B165,"EQY_FUND_RELATIVE_PERIOD",I$9, "EQY_FUND_CRNCY", Hub!$D$8, "FA_ADJUSTED", "ADJ"))</f>
        <v>0</v>
      </c>
      <c r="J165" s="258">
        <f ca="1">IFERROR(IF(RSQ($E165:$I165,$E$7:$I$7)&gt;0.5, (SLOPE($E165:$I165,$E$7:$I$7)+I165)*RSQ($E165:$I165,$E$7:$I$7)+(AVERAGE($E165:$I165)*(1-RSQ($E165:$I165,$E$7:$I$7))), AVERAGE($E165:$I165)),0)</f>
        <v>0</v>
      </c>
      <c r="K165" s="258">
        <f t="shared" ca="1" si="479"/>
        <v>0</v>
      </c>
      <c r="L165" s="258">
        <f t="shared" ca="1" si="479"/>
        <v>0</v>
      </c>
      <c r="M165" s="258">
        <f t="shared" ca="1" si="479"/>
        <v>0</v>
      </c>
      <c r="N165" s="258">
        <f t="shared" ca="1" si="479"/>
        <v>0</v>
      </c>
      <c r="O165" s="258">
        <f t="shared" ca="1" si="479"/>
        <v>0</v>
      </c>
      <c r="P165" s="258">
        <f t="shared" ca="1" si="479"/>
        <v>0</v>
      </c>
      <c r="Q165" s="258">
        <f t="shared" ca="1" si="479"/>
        <v>0</v>
      </c>
      <c r="R165" s="258">
        <f t="shared" ca="1" si="479"/>
        <v>0</v>
      </c>
      <c r="S165" s="258">
        <f t="shared" ca="1" si="479"/>
        <v>0</v>
      </c>
    </row>
    <row r="166" spans="2:19" x14ac:dyDescent="0.25">
      <c r="B166" t="s">
        <v>468</v>
      </c>
      <c r="C166" t="s">
        <v>467</v>
      </c>
      <c r="E166" s="281" cm="1">
        <f t="array" ref="E166">IF(_xll.BDP(Hub!$D$4,$B166,"EQY_FUND_RELATIVE_PERIOD",E$9, "EQY_FUND_CRNCY", Hub!$D$8, "FA_ADJUSTED", "ADJ")="#N/A N/A", 0, _xll.BDP(Hub!$D$4,$B166,"EQY_FUND_RELATIVE_PERIOD",E$9, "EQY_FUND_CRNCY", Hub!$D$8, "FA_ADJUSTED", "ADJ"))</f>
        <v>0</v>
      </c>
      <c r="F166" s="281" cm="1">
        <f t="array" ref="F166">IF(_xll.BDP(Hub!$D$4,$B166,"EQY_FUND_RELATIVE_PERIOD",F$9, "EQY_FUND_CRNCY", Hub!$D$8, "FA_ADJUSTED", "ADJ")="#N/A N/A", 0, _xll.BDP(Hub!$D$4,$B166,"EQY_FUND_RELATIVE_PERIOD",F$9, "EQY_FUND_CRNCY", Hub!$D$8, "FA_ADJUSTED", "ADJ"))</f>
        <v>0</v>
      </c>
      <c r="G166" s="281" cm="1">
        <f t="array" ref="G166">IF(_xll.BDP(Hub!$D$4,$B166,"EQY_FUND_RELATIVE_PERIOD",G$9, "EQY_FUND_CRNCY", Hub!$D$8, "FA_ADJUSTED", "ADJ")="#N/A N/A", 0, _xll.BDP(Hub!$D$4,$B166,"EQY_FUND_RELATIVE_PERIOD",G$9, "EQY_FUND_CRNCY", Hub!$D$8, "FA_ADJUSTED", "ADJ"))</f>
        <v>0</v>
      </c>
      <c r="H166" s="281" cm="1">
        <f t="array" ref="H166">IF(_xll.BDP(Hub!$D$4,$B166,"EQY_FUND_RELATIVE_PERIOD",H$9, "EQY_FUND_CRNCY", Hub!$D$8, "FA_ADJUSTED", "ADJ")="#N/A N/A", 0, _xll.BDP(Hub!$D$4,$B166,"EQY_FUND_RELATIVE_PERIOD",H$9, "EQY_FUND_CRNCY", Hub!$D$8, "FA_ADJUSTED", "ADJ"))</f>
        <v>0</v>
      </c>
      <c r="I166" s="281" cm="1">
        <f t="array" ref="I166">IF(_xll.BDP(Hub!$D$4,$B166,"EQY_FUND_RELATIVE_PERIOD",I$9, "EQY_FUND_CRNCY", Hub!$D$8, "FA_ADJUSTED", "ADJ")="#N/A N/A", 0, _xll.BDP(Hub!$D$4,$B166,"EQY_FUND_RELATIVE_PERIOD",I$9, "EQY_FUND_CRNCY", Hub!$D$8, "FA_ADJUSTED", "ADJ"))</f>
        <v>0</v>
      </c>
      <c r="J166" s="258">
        <f ca="1">IFERROR(IF(RSQ($E166:$I166,$E$7:$I$7)&gt;0.5, (SLOPE($E166:$I166,$E$7:$I$7)+I166)*RSQ($E166:$I166,$E$7:$I$7)+(AVERAGE($E166:$I166)*(1-RSQ($E166:$I166,$E$7:$I$7))), AVERAGE($E166:$I166)),0)</f>
        <v>0</v>
      </c>
      <c r="K166" s="258">
        <f t="shared" ca="1" si="479"/>
        <v>0</v>
      </c>
      <c r="L166" s="258">
        <f t="shared" ca="1" si="479"/>
        <v>0</v>
      </c>
      <c r="M166" s="258">
        <f t="shared" ca="1" si="479"/>
        <v>0</v>
      </c>
      <c r="N166" s="258">
        <f t="shared" ca="1" si="479"/>
        <v>0</v>
      </c>
      <c r="O166" s="258">
        <f t="shared" ca="1" si="479"/>
        <v>0</v>
      </c>
      <c r="P166" s="258">
        <f t="shared" ca="1" si="479"/>
        <v>0</v>
      </c>
      <c r="Q166" s="258">
        <f t="shared" ca="1" si="479"/>
        <v>0</v>
      </c>
      <c r="R166" s="258">
        <f t="shared" ca="1" si="479"/>
        <v>0</v>
      </c>
      <c r="S166" s="258">
        <f t="shared" ca="1" si="479"/>
        <v>0</v>
      </c>
    </row>
    <row r="167" spans="2:19" x14ac:dyDescent="0.25">
      <c r="C167" s="101" t="s">
        <v>445</v>
      </c>
      <c r="D167" s="101"/>
      <c r="E167" s="248">
        <f>SUM(E164:E166)</f>
        <v>0</v>
      </c>
      <c r="F167" s="248">
        <f t="shared" ref="F167:S167" si="480">SUM(F164:F166)</f>
        <v>0</v>
      </c>
      <c r="G167" s="248">
        <f t="shared" si="480"/>
        <v>0</v>
      </c>
      <c r="H167" s="248">
        <f t="shared" si="480"/>
        <v>0</v>
      </c>
      <c r="I167" s="248">
        <f t="shared" si="480"/>
        <v>0</v>
      </c>
      <c r="J167" s="248">
        <f t="shared" ca="1" si="480"/>
        <v>0</v>
      </c>
      <c r="K167" s="248">
        <f t="shared" ca="1" si="480"/>
        <v>0</v>
      </c>
      <c r="L167" s="248">
        <f t="shared" ca="1" si="480"/>
        <v>0</v>
      </c>
      <c r="M167" s="248">
        <f t="shared" ca="1" si="480"/>
        <v>0</v>
      </c>
      <c r="N167" s="248">
        <f t="shared" ca="1" si="480"/>
        <v>0</v>
      </c>
      <c r="O167" s="248">
        <f t="shared" ca="1" si="480"/>
        <v>0</v>
      </c>
      <c r="P167" s="248">
        <f t="shared" ca="1" si="480"/>
        <v>0</v>
      </c>
      <c r="Q167" s="248">
        <f t="shared" ca="1" si="480"/>
        <v>0</v>
      </c>
      <c r="R167" s="248">
        <f t="shared" ca="1" si="480"/>
        <v>0</v>
      </c>
      <c r="S167" s="248">
        <f t="shared" ca="1" si="480"/>
        <v>0</v>
      </c>
    </row>
    <row r="168" spans="2:19" x14ac:dyDescent="0.25">
      <c r="C168" s="11" t="s">
        <v>84</v>
      </c>
      <c r="E168" s="103" t="s">
        <v>85</v>
      </c>
      <c r="F168" s="103" t="e">
        <f>((F167-E167)/E167)</f>
        <v>#DIV/0!</v>
      </c>
      <c r="G168" s="103" t="e">
        <f t="shared" ref="G168" si="481">((G167-F167)/F167)</f>
        <v>#DIV/0!</v>
      </c>
      <c r="H168" s="103" t="e">
        <f t="shared" ref="H168" si="482">((H167-G167)/G167)</f>
        <v>#DIV/0!</v>
      </c>
      <c r="I168" s="103" t="e">
        <f t="shared" ref="I168" si="483">((I167-H167)/H167)</f>
        <v>#DIV/0!</v>
      </c>
      <c r="J168" s="103" t="e">
        <f t="shared" ref="J168" ca="1" si="484">((J167-I167)/I167)</f>
        <v>#DIV/0!</v>
      </c>
      <c r="K168" s="103" t="e">
        <f t="shared" ref="K168" ca="1" si="485">((K167-J167)/J167)</f>
        <v>#DIV/0!</v>
      </c>
      <c r="L168" s="103" t="e">
        <f t="shared" ref="L168" ca="1" si="486">((L167-K167)/K167)</f>
        <v>#DIV/0!</v>
      </c>
      <c r="M168" s="103" t="e">
        <f t="shared" ref="M168" ca="1" si="487">((M167-L167)/L167)</f>
        <v>#DIV/0!</v>
      </c>
      <c r="N168" s="103" t="e">
        <f t="shared" ref="N168" ca="1" si="488">((N167-M167)/M167)</f>
        <v>#DIV/0!</v>
      </c>
      <c r="O168" s="103" t="e">
        <f t="shared" ref="O168" ca="1" si="489">((O167-N167)/N167)</f>
        <v>#DIV/0!</v>
      </c>
      <c r="P168" s="103" t="e">
        <f t="shared" ref="P168" ca="1" si="490">((P167-O167)/O167)</f>
        <v>#DIV/0!</v>
      </c>
      <c r="Q168" s="103" t="e">
        <f t="shared" ref="Q168" ca="1" si="491">((Q167-P167)/P167)</f>
        <v>#DIV/0!</v>
      </c>
      <c r="R168" s="103" t="e">
        <f t="shared" ref="R168" ca="1" si="492">((R167-Q167)/Q167)</f>
        <v>#DIV/0!</v>
      </c>
      <c r="S168" s="103" t="e">
        <f t="shared" ref="S168" ca="1" si="493">((S167-R167)/R167)</f>
        <v>#DIV/0!</v>
      </c>
    </row>
    <row r="171" spans="2:19" x14ac:dyDescent="0.25">
      <c r="C171" s="101" t="s">
        <v>446</v>
      </c>
      <c r="D171" s="102"/>
      <c r="E171" s="259">
        <f>E160-E167</f>
        <v>1248.4455199999998</v>
      </c>
      <c r="F171" s="259">
        <f t="shared" ref="F171:S171" si="494">F160-F167</f>
        <v>409.82</v>
      </c>
      <c r="G171" s="259">
        <f t="shared" si="494"/>
        <v>3534.64</v>
      </c>
      <c r="H171" s="259">
        <f t="shared" si="494"/>
        <v>4640.53</v>
      </c>
      <c r="I171" s="259">
        <f t="shared" si="494"/>
        <v>5969.78</v>
      </c>
      <c r="J171" s="259" t="e">
        <f t="shared" ca="1" si="494"/>
        <v>#DIV/0!</v>
      </c>
      <c r="K171" s="259" t="e">
        <f t="shared" ca="1" si="494"/>
        <v>#DIV/0!</v>
      </c>
      <c r="L171" s="259" t="e">
        <f t="shared" ca="1" si="494"/>
        <v>#DIV/0!</v>
      </c>
      <c r="M171" s="259" t="e">
        <f t="shared" ca="1" si="494"/>
        <v>#DIV/0!</v>
      </c>
      <c r="N171" s="259" t="e">
        <f t="shared" ca="1" si="494"/>
        <v>#DIV/0!</v>
      </c>
      <c r="O171" s="259" t="e">
        <f t="shared" ca="1" si="494"/>
        <v>#DIV/0!</v>
      </c>
      <c r="P171" s="259" t="e">
        <f t="shared" ca="1" si="494"/>
        <v>#DIV/0!</v>
      </c>
      <c r="Q171" s="259" t="e">
        <f t="shared" ca="1" si="494"/>
        <v>#DIV/0!</v>
      </c>
      <c r="R171" s="259" t="e">
        <f t="shared" ca="1" si="494"/>
        <v>#DIV/0!</v>
      </c>
      <c r="S171" s="259" t="e">
        <f t="shared" ca="1" si="494"/>
        <v>#DIV/0!</v>
      </c>
    </row>
    <row r="172" spans="2:19" x14ac:dyDescent="0.25">
      <c r="C172" s="11" t="s">
        <v>84</v>
      </c>
      <c r="E172" s="103" t="s">
        <v>85</v>
      </c>
      <c r="F172" s="103">
        <f>((F171-E171)/E171)</f>
        <v>-0.67173577586309097</v>
      </c>
      <c r="G172" s="103">
        <f t="shared" ref="G172" si="495">((G171-F171)/F171)</f>
        <v>7.6248596945000235</v>
      </c>
      <c r="H172" s="103">
        <f t="shared" ref="H172" si="496">((H171-G171)/G171)</f>
        <v>0.31287203222959054</v>
      </c>
      <c r="I172" s="103">
        <f t="shared" ref="I172" si="497">((I171-H171)/H171)</f>
        <v>0.28644357433310419</v>
      </c>
      <c r="J172" s="103" t="e">
        <f t="shared" ref="J172" ca="1" si="498">((J171-I171)/I171)</f>
        <v>#DIV/0!</v>
      </c>
      <c r="K172" s="103" t="e">
        <f t="shared" ref="K172" ca="1" si="499">((K171-J171)/J171)</f>
        <v>#DIV/0!</v>
      </c>
      <c r="L172" s="103" t="e">
        <f t="shared" ref="L172" ca="1" si="500">((L171-K171)/K171)</f>
        <v>#DIV/0!</v>
      </c>
      <c r="M172" s="103" t="e">
        <f t="shared" ref="M172" ca="1" si="501">((M171-L171)/L171)</f>
        <v>#DIV/0!</v>
      </c>
      <c r="N172" s="103" t="e">
        <f t="shared" ref="N172" ca="1" si="502">((N171-M171)/M171)</f>
        <v>#DIV/0!</v>
      </c>
      <c r="O172" s="103" t="e">
        <f t="shared" ref="O172" ca="1" si="503">((O171-N171)/N171)</f>
        <v>#DIV/0!</v>
      </c>
      <c r="P172" s="103" t="e">
        <f t="shared" ref="P172" ca="1" si="504">((P171-O171)/O171)</f>
        <v>#DIV/0!</v>
      </c>
      <c r="Q172" s="103" t="e">
        <f t="shared" ref="Q172" ca="1" si="505">((Q171-P171)/P171)</f>
        <v>#DIV/0!</v>
      </c>
      <c r="R172" s="103" t="e">
        <f t="shared" ref="R172" ca="1" si="506">((R171-Q171)/Q171)</f>
        <v>#DIV/0!</v>
      </c>
      <c r="S172" s="103" t="e">
        <f t="shared" ref="S172" ca="1" si="507">((S171-R171)/R171)</f>
        <v>#DIV/0!</v>
      </c>
    </row>
    <row r="189" spans="24:34" x14ac:dyDescent="0.25">
      <c r="X189" s="71"/>
      <c r="Y189" s="71"/>
      <c r="Z189" s="71"/>
      <c r="AA189" s="71"/>
      <c r="AB189" s="71"/>
      <c r="AC189" s="71"/>
      <c r="AD189" s="71"/>
      <c r="AE189" s="71"/>
      <c r="AF189" s="71"/>
      <c r="AG189" s="71"/>
      <c r="AH189" s="71"/>
    </row>
    <row r="190" spans="24:34" x14ac:dyDescent="0.25">
      <c r="X190" s="71"/>
      <c r="Y190" s="71"/>
      <c r="Z190" s="71"/>
      <c r="AA190" s="71"/>
      <c r="AB190" s="71"/>
      <c r="AC190" s="71"/>
      <c r="AD190" s="71"/>
      <c r="AE190" s="71"/>
      <c r="AF190" s="71"/>
      <c r="AG190" s="71"/>
      <c r="AH190" s="71"/>
    </row>
    <row r="191" spans="24:34" x14ac:dyDescent="0.25">
      <c r="X191" s="71"/>
      <c r="Y191" s="71"/>
      <c r="Z191" s="71"/>
      <c r="AA191" s="71"/>
      <c r="AB191" s="71"/>
      <c r="AC191" s="71"/>
      <c r="AD191" s="71"/>
      <c r="AE191" s="71"/>
      <c r="AF191" s="71"/>
      <c r="AG191" s="71"/>
      <c r="AH191" s="71"/>
    </row>
    <row r="192" spans="24:34" x14ac:dyDescent="0.25">
      <c r="X192" s="71"/>
      <c r="Y192" s="71"/>
      <c r="Z192" s="71"/>
      <c r="AA192" s="71"/>
      <c r="AB192" s="71"/>
      <c r="AC192" s="71"/>
      <c r="AD192" s="71"/>
      <c r="AE192" s="71"/>
      <c r="AF192" s="71"/>
      <c r="AG192" s="71"/>
      <c r="AH192" s="71"/>
    </row>
    <row r="193" spans="24:34" x14ac:dyDescent="0.25">
      <c r="X193" s="71"/>
      <c r="Y193" s="71"/>
      <c r="Z193" s="71"/>
      <c r="AA193" s="71"/>
      <c r="AB193" s="71"/>
      <c r="AC193" s="71"/>
      <c r="AD193" s="71"/>
      <c r="AE193" s="71"/>
      <c r="AF193" s="71"/>
      <c r="AG193" s="71"/>
      <c r="AH193" s="71"/>
    </row>
    <row r="194" spans="24:34" x14ac:dyDescent="0.25">
      <c r="X194" s="71"/>
      <c r="Y194" s="71"/>
      <c r="Z194" s="71"/>
      <c r="AA194" s="71"/>
      <c r="AB194" s="71"/>
      <c r="AC194" s="71"/>
      <c r="AD194" s="71"/>
      <c r="AE194" s="71"/>
      <c r="AF194" s="71"/>
      <c r="AG194" s="71"/>
      <c r="AH194" s="71"/>
    </row>
    <row r="195" spans="24:34" x14ac:dyDescent="0.25">
      <c r="X195" s="71"/>
      <c r="Y195" s="71"/>
      <c r="Z195" s="71"/>
      <c r="AA195" s="71"/>
      <c r="AB195" s="71"/>
      <c r="AC195" s="71"/>
      <c r="AD195" s="71"/>
      <c r="AE195" s="71"/>
      <c r="AF195" s="71"/>
      <c r="AG195" s="71"/>
      <c r="AH195" s="71"/>
    </row>
    <row r="196" spans="24:34" x14ac:dyDescent="0.25">
      <c r="X196" s="71"/>
      <c r="Y196" s="71"/>
      <c r="Z196" s="71"/>
      <c r="AA196" s="71"/>
      <c r="AB196" s="71"/>
      <c r="AC196" s="71"/>
      <c r="AD196" s="71"/>
      <c r="AE196" s="71"/>
      <c r="AF196" s="71"/>
      <c r="AG196" s="71"/>
      <c r="AH196" s="71"/>
    </row>
    <row r="197" spans="24:34" x14ac:dyDescent="0.25">
      <c r="X197" s="71"/>
      <c r="Y197" s="71"/>
      <c r="Z197" s="71"/>
      <c r="AA197" s="71"/>
      <c r="AB197" s="71"/>
      <c r="AC197" s="71"/>
      <c r="AD197" s="71"/>
      <c r="AE197" s="71"/>
      <c r="AF197" s="71"/>
      <c r="AG197" s="71"/>
      <c r="AH197" s="71"/>
    </row>
    <row r="198" spans="24:34" x14ac:dyDescent="0.25">
      <c r="X198" s="71"/>
      <c r="Y198" s="71"/>
      <c r="Z198" s="71"/>
      <c r="AA198" s="71"/>
      <c r="AB198" s="71"/>
      <c r="AC198" s="71"/>
      <c r="AD198" s="71"/>
      <c r="AE198" s="71"/>
      <c r="AF198" s="71"/>
      <c r="AG198" s="71"/>
      <c r="AH198" s="71"/>
    </row>
    <row r="199" spans="24:34" x14ac:dyDescent="0.25">
      <c r="X199" s="71"/>
      <c r="Y199" s="71"/>
      <c r="Z199" s="71"/>
      <c r="AA199" s="71"/>
      <c r="AB199" s="71"/>
      <c r="AC199" s="71"/>
      <c r="AD199" s="71"/>
      <c r="AE199" s="71"/>
      <c r="AF199" s="71"/>
      <c r="AG199" s="71"/>
      <c r="AH199" s="71"/>
    </row>
    <row r="200" spans="24:34" x14ac:dyDescent="0.25">
      <c r="X200" s="71"/>
      <c r="Y200" s="71"/>
      <c r="Z200" s="71"/>
      <c r="AA200" s="71"/>
      <c r="AB200" s="71"/>
      <c r="AC200" s="71"/>
      <c r="AD200" s="71"/>
      <c r="AE200" s="71"/>
      <c r="AF200" s="71"/>
      <c r="AG200" s="71"/>
      <c r="AH200" s="71"/>
    </row>
    <row r="201" spans="24:34" x14ac:dyDescent="0.25">
      <c r="X201" s="71"/>
      <c r="Y201" s="71"/>
      <c r="Z201" s="71"/>
      <c r="AA201" s="71"/>
      <c r="AB201" s="71"/>
      <c r="AC201" s="71"/>
      <c r="AD201" s="71"/>
      <c r="AE201" s="71"/>
      <c r="AF201" s="71"/>
      <c r="AG201" s="71"/>
      <c r="AH201" s="71"/>
    </row>
    <row r="202" spans="24:34" x14ac:dyDescent="0.25">
      <c r="X202" s="71"/>
      <c r="Y202" s="71"/>
      <c r="Z202" s="71"/>
      <c r="AA202" s="71"/>
      <c r="AB202" s="71"/>
      <c r="AC202" s="71"/>
      <c r="AD202" s="71"/>
      <c r="AE202" s="71"/>
      <c r="AF202" s="71"/>
      <c r="AG202" s="71"/>
      <c r="AH202" s="71"/>
    </row>
    <row r="203" spans="24:34" x14ac:dyDescent="0.25">
      <c r="X203" s="71"/>
      <c r="Y203" s="71"/>
      <c r="Z203" s="71"/>
      <c r="AA203" s="71"/>
      <c r="AB203" s="71"/>
      <c r="AC203" s="71"/>
      <c r="AD203" s="71"/>
      <c r="AE203" s="71"/>
      <c r="AF203" s="71"/>
      <c r="AG203" s="71"/>
      <c r="AH203" s="71"/>
    </row>
    <row r="204" spans="24:34" x14ac:dyDescent="0.25">
      <c r="X204" s="71"/>
      <c r="Y204" s="71"/>
      <c r="Z204" s="71"/>
      <c r="AA204" s="71"/>
      <c r="AB204" s="71"/>
      <c r="AC204" s="71"/>
      <c r="AD204" s="71"/>
      <c r="AE204" s="71"/>
      <c r="AF204" s="71"/>
      <c r="AG204" s="71"/>
      <c r="AH204" s="71"/>
    </row>
    <row r="205" spans="24:34" x14ac:dyDescent="0.25">
      <c r="X205" s="71"/>
      <c r="Y205" s="71"/>
      <c r="Z205" s="71"/>
      <c r="AA205" s="71"/>
      <c r="AB205" s="71"/>
      <c r="AC205" s="71"/>
      <c r="AD205" s="71"/>
      <c r="AE205" s="71"/>
      <c r="AF205" s="71"/>
      <c r="AG205" s="71"/>
      <c r="AH205" s="71"/>
    </row>
    <row r="206" spans="24:34" x14ac:dyDescent="0.25">
      <c r="X206" s="71"/>
      <c r="Y206" s="71"/>
      <c r="Z206" s="71"/>
      <c r="AA206" s="71"/>
      <c r="AB206" s="71"/>
      <c r="AC206" s="71"/>
      <c r="AD206" s="71"/>
      <c r="AE206" s="71"/>
      <c r="AF206" s="71"/>
      <c r="AG206" s="71"/>
      <c r="AH206" s="71"/>
    </row>
    <row r="207" spans="24:34" x14ac:dyDescent="0.25">
      <c r="X207" s="71"/>
      <c r="Y207" s="71"/>
      <c r="Z207" s="71"/>
      <c r="AA207" s="71"/>
      <c r="AB207" s="71"/>
      <c r="AC207" s="71"/>
      <c r="AD207" s="71"/>
      <c r="AE207" s="71"/>
      <c r="AF207" s="71"/>
      <c r="AG207" s="71"/>
      <c r="AH207" s="71"/>
    </row>
    <row r="208" spans="24:34" x14ac:dyDescent="0.25">
      <c r="X208" s="71"/>
      <c r="Y208" s="71"/>
      <c r="Z208" s="71"/>
      <c r="AA208" s="71"/>
      <c r="AB208" s="71"/>
      <c r="AC208" s="71"/>
      <c r="AD208" s="71"/>
      <c r="AE208" s="71"/>
      <c r="AF208" s="71"/>
      <c r="AG208" s="71"/>
      <c r="AH208" s="71"/>
    </row>
    <row r="209" spans="24:34" x14ac:dyDescent="0.25">
      <c r="X209" s="71"/>
      <c r="Y209" s="71"/>
      <c r="Z209" s="71"/>
      <c r="AA209" s="71"/>
      <c r="AB209" s="71"/>
      <c r="AC209" s="71"/>
      <c r="AD209" s="71"/>
      <c r="AE209" s="71"/>
      <c r="AF209" s="71"/>
      <c r="AG209" s="71"/>
      <c r="AH209" s="71"/>
    </row>
    <row r="210" spans="24:34" x14ac:dyDescent="0.25">
      <c r="X210" s="71"/>
      <c r="Y210" s="71"/>
      <c r="Z210" s="71"/>
      <c r="AA210" s="71"/>
      <c r="AB210" s="71"/>
      <c r="AC210" s="71"/>
      <c r="AD210" s="71"/>
      <c r="AE210" s="71"/>
      <c r="AF210" s="71"/>
      <c r="AG210" s="71"/>
      <c r="AH210" s="71"/>
    </row>
    <row r="211" spans="24:34" x14ac:dyDescent="0.25">
      <c r="X211" s="71"/>
      <c r="Y211" s="71"/>
      <c r="Z211" s="71"/>
      <c r="AA211" s="71"/>
      <c r="AB211" s="71"/>
      <c r="AC211" s="71"/>
      <c r="AD211" s="71"/>
      <c r="AE211" s="71"/>
      <c r="AF211" s="71"/>
      <c r="AG211" s="71"/>
      <c r="AH211" s="71"/>
    </row>
    <row r="212" spans="24:34" x14ac:dyDescent="0.25">
      <c r="X212" s="71"/>
      <c r="Y212" s="71"/>
      <c r="Z212" s="71"/>
      <c r="AA212" s="71"/>
      <c r="AB212" s="71"/>
      <c r="AC212" s="71"/>
      <c r="AD212" s="71"/>
      <c r="AE212" s="71"/>
      <c r="AF212" s="71"/>
      <c r="AG212" s="71"/>
      <c r="AH212" s="71"/>
    </row>
    <row r="213" spans="24:34" x14ac:dyDescent="0.25">
      <c r="X213" s="71"/>
      <c r="Y213" s="71"/>
      <c r="Z213" s="71"/>
      <c r="AA213" s="71"/>
      <c r="AB213" s="71"/>
      <c r="AC213" s="71"/>
      <c r="AD213" s="71"/>
      <c r="AE213" s="71"/>
      <c r="AF213" s="71"/>
      <c r="AG213" s="71"/>
      <c r="AH213" s="71"/>
    </row>
    <row r="214" spans="24:34" x14ac:dyDescent="0.25">
      <c r="X214" s="71"/>
      <c r="Y214" s="71"/>
      <c r="Z214" s="71"/>
      <c r="AA214" s="71"/>
      <c r="AB214" s="71"/>
      <c r="AC214" s="71"/>
      <c r="AD214" s="71"/>
      <c r="AE214" s="71"/>
      <c r="AF214" s="71"/>
      <c r="AG214" s="71"/>
      <c r="AH214" s="71"/>
    </row>
    <row r="215" spans="24:34" x14ac:dyDescent="0.25">
      <c r="X215" s="71"/>
      <c r="Y215" s="71"/>
      <c r="Z215" s="71"/>
      <c r="AA215" s="71"/>
      <c r="AB215" s="71"/>
      <c r="AC215" s="71"/>
      <c r="AD215" s="71"/>
      <c r="AE215" s="71"/>
      <c r="AF215" s="71"/>
      <c r="AG215" s="71"/>
      <c r="AH215" s="71"/>
    </row>
    <row r="216" spans="24:34" x14ac:dyDescent="0.25">
      <c r="X216" s="71"/>
      <c r="Y216" s="71"/>
      <c r="Z216" s="71"/>
      <c r="AA216" s="71"/>
      <c r="AB216" s="71"/>
      <c r="AC216" s="71"/>
      <c r="AD216" s="71"/>
      <c r="AE216" s="71"/>
      <c r="AF216" s="71"/>
      <c r="AG216" s="71"/>
      <c r="AH216" s="71"/>
    </row>
    <row r="217" spans="24:34" x14ac:dyDescent="0.25">
      <c r="X217" s="71"/>
      <c r="Y217" s="71"/>
      <c r="Z217" s="71"/>
      <c r="AA217" s="71"/>
      <c r="AB217" s="71"/>
      <c r="AC217" s="71"/>
      <c r="AD217" s="71"/>
      <c r="AE217" s="71"/>
      <c r="AF217" s="71"/>
      <c r="AG217" s="71"/>
      <c r="AH217" s="71"/>
    </row>
    <row r="218" spans="24:34" x14ac:dyDescent="0.25">
      <c r="X218" s="71"/>
      <c r="Y218" s="339"/>
      <c r="Z218" s="71"/>
      <c r="AA218" s="71"/>
      <c r="AB218" s="71"/>
      <c r="AC218" s="71"/>
      <c r="AD218" s="71"/>
      <c r="AE218" s="71"/>
      <c r="AF218" s="71"/>
      <c r="AG218" s="71"/>
      <c r="AH218" s="71"/>
    </row>
    <row r="219" spans="24:34" x14ac:dyDescent="0.25">
      <c r="X219" s="71"/>
      <c r="Y219" s="71"/>
      <c r="Z219" s="71"/>
      <c r="AA219" s="71"/>
      <c r="AB219" s="71"/>
      <c r="AC219" s="71"/>
      <c r="AD219" s="71"/>
      <c r="AE219" s="71"/>
      <c r="AF219" s="71"/>
      <c r="AG219" s="71"/>
      <c r="AH219" s="71"/>
    </row>
    <row r="220" spans="24:34" x14ac:dyDescent="0.25">
      <c r="X220" s="71"/>
      <c r="Y220" s="71"/>
      <c r="Z220" s="71"/>
      <c r="AA220" s="71"/>
      <c r="AB220" s="71"/>
      <c r="AC220" s="71"/>
      <c r="AD220" s="71"/>
      <c r="AE220" s="71"/>
      <c r="AF220" s="71"/>
      <c r="AG220" s="71"/>
      <c r="AH220" s="71"/>
    </row>
    <row r="221" spans="24:34" x14ac:dyDescent="0.25">
      <c r="X221" s="71"/>
      <c r="Y221" s="71"/>
      <c r="Z221" s="71"/>
      <c r="AA221" s="71"/>
      <c r="AB221" s="71"/>
      <c r="AC221" s="71"/>
      <c r="AD221" s="71"/>
      <c r="AE221" s="71"/>
      <c r="AF221" s="71"/>
      <c r="AG221" s="71"/>
      <c r="AH221" s="71"/>
    </row>
    <row r="222" spans="24:34" x14ac:dyDescent="0.25">
      <c r="X222" s="71"/>
      <c r="Y222" s="71"/>
      <c r="Z222" s="71"/>
      <c r="AA222" s="71"/>
      <c r="AB222" s="71"/>
      <c r="AC222" s="71"/>
      <c r="AD222" s="71"/>
      <c r="AE222" s="71"/>
      <c r="AF222" s="71"/>
      <c r="AG222" s="71"/>
      <c r="AH222" s="71"/>
    </row>
    <row r="223" spans="24:34" x14ac:dyDescent="0.25">
      <c r="X223" s="71"/>
      <c r="Y223" s="71"/>
      <c r="Z223" s="71"/>
      <c r="AA223" s="71"/>
      <c r="AB223" s="71"/>
      <c r="AC223" s="71"/>
      <c r="AD223" s="71"/>
      <c r="AE223" s="71"/>
      <c r="AF223" s="71"/>
      <c r="AG223" s="71"/>
      <c r="AH223" s="71"/>
    </row>
    <row r="224" spans="24:34" x14ac:dyDescent="0.25">
      <c r="X224" s="71"/>
      <c r="Y224" s="71"/>
      <c r="Z224" s="71"/>
      <c r="AA224" s="71"/>
      <c r="AB224" s="71"/>
      <c r="AC224" s="71"/>
      <c r="AD224" s="71"/>
      <c r="AE224" s="71"/>
      <c r="AF224" s="71"/>
      <c r="AG224" s="71"/>
      <c r="AH224" s="71"/>
    </row>
    <row r="225" spans="24:34" x14ac:dyDescent="0.25">
      <c r="X225" s="71"/>
      <c r="Y225" s="71"/>
      <c r="Z225" s="71"/>
      <c r="AA225" s="71"/>
      <c r="AB225" s="71"/>
      <c r="AC225" s="71"/>
      <c r="AD225" s="71"/>
      <c r="AE225" s="71"/>
      <c r="AF225" s="71"/>
      <c r="AG225" s="71"/>
      <c r="AH225" s="71"/>
    </row>
    <row r="226" spans="24:34" x14ac:dyDescent="0.25">
      <c r="X226" s="71"/>
      <c r="Y226" s="71"/>
      <c r="Z226" s="71"/>
      <c r="AA226" s="71"/>
      <c r="AB226" s="71"/>
      <c r="AC226" s="71"/>
      <c r="AD226" s="340"/>
      <c r="AE226" s="71"/>
      <c r="AF226" s="71"/>
      <c r="AG226" s="71"/>
      <c r="AH226" s="71"/>
    </row>
  </sheetData>
  <phoneticPr fontId="30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3" r:id="rId3" name="Button 1">
              <controlPr defaultSize="0" print="0" autoFill="0" autoPict="0" macro="[0]!BacktoHub">
                <anchor moveWithCells="1" sizeWithCells="1">
                  <from>
                    <xdr:col>11</xdr:col>
                    <xdr:colOff>161925</xdr:colOff>
                    <xdr:row>2</xdr:row>
                    <xdr:rowOff>28575</xdr:rowOff>
                  </from>
                  <to>
                    <xdr:col>13</xdr:col>
                    <xdr:colOff>114300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73192A-229D-496F-B844-47B02127798F}">
  <sheetPr codeName="Sheet5"/>
  <dimension ref="B2:L9"/>
  <sheetViews>
    <sheetView zoomScaleNormal="100" workbookViewId="0">
      <selection activeCell="I14" sqref="I14"/>
    </sheetView>
  </sheetViews>
  <sheetFormatPr defaultRowHeight="15" x14ac:dyDescent="0.25"/>
  <cols>
    <col min="2" max="2" width="28.85546875" customWidth="1"/>
    <col min="3" max="3" width="15.28515625" bestFit="1" customWidth="1"/>
    <col min="4" max="4" width="10.85546875" customWidth="1"/>
    <col min="5" max="5" width="18.85546875" bestFit="1" customWidth="1"/>
    <col min="6" max="6" width="20.42578125" customWidth="1"/>
    <col min="7" max="7" width="11.28515625" customWidth="1"/>
    <col min="8" max="8" width="17.7109375" bestFit="1" customWidth="1"/>
    <col min="12" max="12" width="10.5703125" bestFit="1" customWidth="1"/>
  </cols>
  <sheetData>
    <row r="2" spans="2:12" ht="15.75" thickBot="1" x14ac:dyDescent="0.3">
      <c r="B2" s="6" t="str">
        <f>DCF!C2</f>
        <v>CAESARS ENTERTAINMENT INC</v>
      </c>
      <c r="C2" s="6" t="s">
        <v>145</v>
      </c>
      <c r="D2" s="19"/>
      <c r="E2" s="19"/>
      <c r="F2" s="19"/>
      <c r="G2" s="19"/>
      <c r="H2" s="19"/>
      <c r="I2" s="19"/>
      <c r="J2" s="19"/>
      <c r="K2" s="19"/>
      <c r="L2" s="19"/>
    </row>
    <row r="3" spans="2:12" ht="15.75" thickTop="1" x14ac:dyDescent="0.25">
      <c r="C3" s="132"/>
    </row>
    <row r="4" spans="2:12" x14ac:dyDescent="0.25">
      <c r="C4" t="s">
        <v>146</v>
      </c>
      <c r="D4" s="257">
        <f>((G4/G6*G7))+((G5/G6)*G8*(1-L4))</f>
        <v>8.0848911765504614E-2</v>
      </c>
      <c r="F4" t="s">
        <v>147</v>
      </c>
      <c r="G4" s="299" cm="1">
        <f t="array" ref="G4">IF(Hub!N4="Yes", _xll.BDP(Hub!D4, "RR902")/1000000, Hub!V6*Hub!V7)</f>
        <v>7977.07665696</v>
      </c>
      <c r="I4" t="s">
        <v>14</v>
      </c>
      <c r="L4" s="107">
        <f>DCF!D11</f>
        <v>0.21</v>
      </c>
    </row>
    <row r="5" spans="2:12" x14ac:dyDescent="0.25">
      <c r="F5" t="s">
        <v>148</v>
      </c>
      <c r="G5" s="130">
        <f>IF(Debt_Schedule!AC28="Backup Schedule Enabled", Debt_Schedule!AD41, Debt_Schedule!J105+Debt_Schedule!T105)</f>
        <v>25711</v>
      </c>
      <c r="I5" t="s">
        <v>12</v>
      </c>
      <c r="L5" s="359" cm="1">
        <f t="array" ref="L5">IF(Hub!N4="Yes", _xll.BDP(Hub!D4, "RK001"), Hub!V8)</f>
        <v>1.9817972183227539</v>
      </c>
    </row>
    <row r="6" spans="2:12" x14ac:dyDescent="0.25">
      <c r="F6" t="s">
        <v>149</v>
      </c>
      <c r="G6" s="130">
        <f>G4+G5</f>
        <v>33688.076656960002</v>
      </c>
      <c r="I6" t="s">
        <v>36</v>
      </c>
      <c r="L6" s="40">
        <f>DCF!N12</f>
        <v>4.1673549999999997E-2</v>
      </c>
    </row>
    <row r="7" spans="2:12" x14ac:dyDescent="0.25">
      <c r="F7" t="s">
        <v>150</v>
      </c>
      <c r="G7" s="314">
        <f>L6+(L5*L7)</f>
        <v>0.15726474636464122</v>
      </c>
      <c r="I7" t="s">
        <v>151</v>
      </c>
      <c r="L7" s="95">
        <f>Hub!H21</f>
        <v>5.8326450000000009E-2</v>
      </c>
    </row>
    <row r="8" spans="2:12" x14ac:dyDescent="0.25">
      <c r="F8" t="s">
        <v>152</v>
      </c>
      <c r="G8" s="17">
        <f>(L9/L8)*(1-L4)</f>
        <v>7.2329353195130494E-2</v>
      </c>
      <c r="I8" t="s">
        <v>153</v>
      </c>
      <c r="L8" s="294">
        <f>IF(Debt_Schedule!AC28="Backup Schedule Enabled", Debt_Schedule!AD41, Debt_Schedule!AD14)</f>
        <v>25711</v>
      </c>
    </row>
    <row r="9" spans="2:12" x14ac:dyDescent="0.25">
      <c r="I9" t="s">
        <v>141</v>
      </c>
      <c r="L9" s="234">
        <f>Operating_Model!I136</f>
        <v>2354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3" name="Button 1">
              <controlPr defaultSize="0" print="0" autoFill="0" autoPict="0" macro="[0]!BacktoHub">
                <anchor moveWithCells="1" sizeWithCells="1">
                  <from>
                    <xdr:col>1</xdr:col>
                    <xdr:colOff>238125</xdr:colOff>
                    <xdr:row>3</xdr:row>
                    <xdr:rowOff>57150</xdr:rowOff>
                  </from>
                  <to>
                    <xdr:col>1</xdr:col>
                    <xdr:colOff>1428750</xdr:colOff>
                    <xdr:row>6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0AE0F0-3E53-40A3-92FB-9A9330DB1C6D}">
  <sheetPr codeName="Sheet21"/>
  <dimension ref="B2:W63"/>
  <sheetViews>
    <sheetView topLeftCell="A16" zoomScale="90" zoomScaleNormal="90" workbookViewId="0">
      <selection activeCell="G11" sqref="G11"/>
    </sheetView>
  </sheetViews>
  <sheetFormatPr defaultRowHeight="15" x14ac:dyDescent="0.25"/>
  <cols>
    <col min="2" max="2" width="11.7109375" customWidth="1"/>
    <col min="3" max="3" width="28.42578125" customWidth="1"/>
    <col min="5" max="8" width="10.7109375" bestFit="1" customWidth="1"/>
    <col min="9" max="10" width="10.7109375" customWidth="1"/>
    <col min="11" max="14" width="10.7109375" bestFit="1" customWidth="1"/>
    <col min="15" max="19" width="11.5703125" bestFit="1" customWidth="1"/>
  </cols>
  <sheetData>
    <row r="2" spans="2:23" x14ac:dyDescent="0.25">
      <c r="D2" s="71"/>
      <c r="E2" s="5"/>
      <c r="F2" s="1"/>
      <c r="G2" s="2" t="s">
        <v>80</v>
      </c>
      <c r="H2" s="1"/>
      <c r="I2" s="1"/>
      <c r="J2" s="4"/>
      <c r="K2" s="3"/>
      <c r="L2" s="3"/>
      <c r="M2" s="3"/>
      <c r="N2" s="3" t="s">
        <v>81</v>
      </c>
      <c r="O2" s="3"/>
      <c r="P2" s="3"/>
      <c r="Q2" s="3"/>
      <c r="R2" s="3"/>
      <c r="S2" s="3"/>
    </row>
    <row r="3" spans="2:23" x14ac:dyDescent="0.25">
      <c r="D3" s="165"/>
      <c r="E3" s="7">
        <f ca="1">YEAR(E4)</f>
        <v>2019</v>
      </c>
      <c r="F3" s="7">
        <f t="shared" ref="F3:I3" ca="1" si="0">YEAR(F4)</f>
        <v>2020</v>
      </c>
      <c r="G3" s="7">
        <f t="shared" ca="1" si="0"/>
        <v>2021</v>
      </c>
      <c r="H3" s="7">
        <f t="shared" ca="1" si="0"/>
        <v>2022</v>
      </c>
      <c r="I3" s="7">
        <f t="shared" ca="1" si="0"/>
        <v>2023</v>
      </c>
      <c r="J3" s="8">
        <f ca="1">YEAR(J4)</f>
        <v>2024</v>
      </c>
      <c r="K3" s="8">
        <f t="shared" ref="K3:S3" ca="1" si="1">YEAR(K4)</f>
        <v>2025</v>
      </c>
      <c r="L3" s="8">
        <f t="shared" ca="1" si="1"/>
        <v>2026</v>
      </c>
      <c r="M3" s="8">
        <f t="shared" ca="1" si="1"/>
        <v>2027</v>
      </c>
      <c r="N3" s="8">
        <f t="shared" ca="1" si="1"/>
        <v>2028</v>
      </c>
      <c r="O3" s="8">
        <f t="shared" ca="1" si="1"/>
        <v>2029</v>
      </c>
      <c r="P3" s="8">
        <f t="shared" ca="1" si="1"/>
        <v>2030</v>
      </c>
      <c r="Q3" s="8">
        <f t="shared" ca="1" si="1"/>
        <v>2031</v>
      </c>
      <c r="R3" s="8">
        <f t="shared" ca="1" si="1"/>
        <v>2032</v>
      </c>
      <c r="S3" s="8">
        <f t="shared" ca="1" si="1"/>
        <v>2033</v>
      </c>
    </row>
    <row r="4" spans="2:23" x14ac:dyDescent="0.25">
      <c r="D4" s="9"/>
      <c r="E4" s="9">
        <f t="shared" ref="E4:G4" ca="1" si="2">EOMONTH(F4,-12)</f>
        <v>43830</v>
      </c>
      <c r="F4" s="9">
        <f t="shared" ca="1" si="2"/>
        <v>44196</v>
      </c>
      <c r="G4" s="9">
        <f t="shared" ca="1" si="2"/>
        <v>44561</v>
      </c>
      <c r="H4" s="9">
        <f ca="1">EOMONTH(I4,-12)</f>
        <v>44926</v>
      </c>
      <c r="I4" s="9">
        <f ca="1">DCF!I16</f>
        <v>45291</v>
      </c>
      <c r="J4" s="9">
        <f ca="1">EOMONTH(I4,12)</f>
        <v>45657</v>
      </c>
      <c r="K4" s="9">
        <f t="shared" ref="K4:S4" ca="1" si="3">EOMONTH(J4,12)</f>
        <v>46022</v>
      </c>
      <c r="L4" s="9">
        <f t="shared" ca="1" si="3"/>
        <v>46387</v>
      </c>
      <c r="M4" s="9">
        <f t="shared" ca="1" si="3"/>
        <v>46752</v>
      </c>
      <c r="N4" s="9">
        <f t="shared" ca="1" si="3"/>
        <v>47118</v>
      </c>
      <c r="O4" s="9">
        <f t="shared" ca="1" si="3"/>
        <v>47483</v>
      </c>
      <c r="P4" s="9">
        <f t="shared" ca="1" si="3"/>
        <v>47848</v>
      </c>
      <c r="Q4" s="9">
        <f t="shared" ca="1" si="3"/>
        <v>48213</v>
      </c>
      <c r="R4" s="9">
        <f t="shared" ca="1" si="3"/>
        <v>48579</v>
      </c>
      <c r="S4" s="9">
        <f t="shared" ca="1" si="3"/>
        <v>48944</v>
      </c>
    </row>
    <row r="5" spans="2:23" x14ac:dyDescent="0.25">
      <c r="D5" s="9"/>
      <c r="E5" s="267" t="s">
        <v>357</v>
      </c>
      <c r="F5" s="267" t="s">
        <v>356</v>
      </c>
      <c r="G5" s="267" t="s">
        <v>355</v>
      </c>
      <c r="H5" s="267" t="s">
        <v>353</v>
      </c>
      <c r="I5" s="267" t="s">
        <v>354</v>
      </c>
      <c r="J5" s="9"/>
      <c r="K5" s="9"/>
      <c r="L5" s="9"/>
      <c r="M5" s="9"/>
      <c r="N5" s="9"/>
      <c r="O5" s="9"/>
      <c r="P5" s="9"/>
      <c r="Q5" s="9"/>
      <c r="R5" s="9"/>
      <c r="S5" s="9"/>
    </row>
    <row r="6" spans="2:23" x14ac:dyDescent="0.25">
      <c r="E6" s="9"/>
      <c r="F6" s="9"/>
      <c r="G6" s="9"/>
      <c r="H6" s="9"/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</row>
    <row r="7" spans="2:23" x14ac:dyDescent="0.25">
      <c r="C7" s="10" t="s">
        <v>208</v>
      </c>
    </row>
    <row r="9" spans="2:23" x14ac:dyDescent="0.25">
      <c r="B9" t="s">
        <v>406</v>
      </c>
      <c r="C9" t="s">
        <v>209</v>
      </c>
      <c r="E9" s="268" cm="1">
        <f t="array" ref="E9">_xll.BDP(Hub!$D$4,$B9,"EQY_FUND_RELATIVE_PERIOD",E$5, "EQY_FUND_CRNCY", Hub!$D$8, "FA_ADJUSTED", "ADJ")</f>
        <v>2614.5239999999999</v>
      </c>
      <c r="F9" s="268" cm="1">
        <f t="array" ref="F9">_xll.BDP(Hub!$D$4,$B9,"EQY_FUND_RELATIVE_PERIOD",F$5, "EQY_FUND_CRNCY", Hub!$D$8, "FA_ADJUSTED", "ADJ")</f>
        <v>14333</v>
      </c>
      <c r="G9" s="268" cm="1">
        <f t="array" ref="G9">_xll.BDP(Hub!$D$4,$B9,"EQY_FUND_RELATIVE_PERIOD",G$5, "EQY_FUND_CRNCY", Hub!$D$8, "FA_ADJUSTED", "ADJ")</f>
        <v>14601</v>
      </c>
      <c r="H9" s="268" cm="1">
        <f t="array" ref="H9">_xll.BDP(Hub!$D$4,$B9,"EQY_FUND_RELATIVE_PERIOD",H$5, "EQY_FUND_CRNCY", Hub!$D$8, "FA_ADJUSTED", "ADJ")</f>
        <v>14598</v>
      </c>
      <c r="I9" s="268" cm="1">
        <f t="array" ref="I9">_xll.BDP(Hub!$D$4,$B9,"EQY_FUND_RELATIVE_PERIOD",I$5, "EQY_FUND_CRNCY", Hub!$D$8, "FA_ADJUSTED", "ADJ")</f>
        <v>14756</v>
      </c>
      <c r="J9" s="234" t="e">
        <f t="shared" ref="J9:S9" ca="1" si="4">I9+J11-J34</f>
        <v>#DIV/0!</v>
      </c>
      <c r="K9" s="234" t="e">
        <f t="shared" ca="1" si="4"/>
        <v>#DIV/0!</v>
      </c>
      <c r="L9" s="234" t="e">
        <f t="shared" ca="1" si="4"/>
        <v>#DIV/0!</v>
      </c>
      <c r="M9" s="234" t="e">
        <f t="shared" ca="1" si="4"/>
        <v>#DIV/0!</v>
      </c>
      <c r="N9" s="234" t="e">
        <f t="shared" ca="1" si="4"/>
        <v>#DIV/0!</v>
      </c>
      <c r="O9" s="234" t="e">
        <f t="shared" ca="1" si="4"/>
        <v>#DIV/0!</v>
      </c>
      <c r="P9" s="234" t="e">
        <f t="shared" ca="1" si="4"/>
        <v>#DIV/0!</v>
      </c>
      <c r="Q9" s="234" t="e">
        <f t="shared" ca="1" si="4"/>
        <v>#DIV/0!</v>
      </c>
      <c r="R9" s="234" t="e">
        <f t="shared" ca="1" si="4"/>
        <v>#DIV/0!</v>
      </c>
      <c r="S9" s="234" t="e">
        <f t="shared" ca="1" si="4"/>
        <v>#DIV/0!</v>
      </c>
    </row>
    <row r="11" spans="2:23" ht="15" customHeight="1" x14ac:dyDescent="0.25">
      <c r="C11" t="s">
        <v>210</v>
      </c>
      <c r="E11" s="234">
        <f>DCF!E30-E43</f>
        <v>140.46599999999998</v>
      </c>
      <c r="F11" s="234">
        <f>DCF!F30-F43</f>
        <v>-2998.6019999999999</v>
      </c>
      <c r="G11" s="234">
        <f>DCF!G30-G43</f>
        <v>26</v>
      </c>
      <c r="H11" s="234">
        <f>DCF!H30-H43</f>
        <v>982</v>
      </c>
      <c r="I11" s="234">
        <f>DCF!I30-I43</f>
        <v>1341</v>
      </c>
      <c r="J11" s="288" t="e">
        <f ca="1">J12*Revenue_Build!I36-J43</f>
        <v>#DIV/0!</v>
      </c>
      <c r="K11" s="234" t="e">
        <f ca="1">K12*Revenue_Build!J36-K43</f>
        <v>#DIV/0!</v>
      </c>
      <c r="L11" s="234" t="e">
        <f ca="1">L12*Revenue_Build!K36-L43</f>
        <v>#DIV/0!</v>
      </c>
      <c r="M11" s="234" t="e">
        <f ca="1">M12*Revenue_Build!L36-M43</f>
        <v>#DIV/0!</v>
      </c>
      <c r="N11" s="234" t="e">
        <f ca="1">N12*Revenue_Build!M36-N43</f>
        <v>#DIV/0!</v>
      </c>
      <c r="O11" s="234" t="e">
        <f ca="1">O12*Revenue_Build!N36-O43</f>
        <v>#DIV/0!</v>
      </c>
      <c r="P11" s="234" t="e">
        <f ca="1">P12*Revenue_Build!O36-P43</f>
        <v>#DIV/0!</v>
      </c>
      <c r="Q11" s="234" t="e">
        <f ca="1">Q12*Revenue_Build!P36-Q43</f>
        <v>#DIV/0!</v>
      </c>
      <c r="R11" s="234" t="e">
        <f ca="1">R12*Revenue_Build!Q36-R43</f>
        <v>#DIV/0!</v>
      </c>
      <c r="S11" s="234" t="e">
        <f ca="1">S12*Revenue_Build!R36-S43</f>
        <v>#DIV/0!</v>
      </c>
    </row>
    <row r="12" spans="2:23" x14ac:dyDescent="0.25">
      <c r="C12" s="11" t="s">
        <v>211</v>
      </c>
      <c r="E12" s="17">
        <f>E11/Revenue_Build!D36</f>
        <v>5.5564082278481003E-2</v>
      </c>
      <c r="F12" s="17">
        <f>F11/Revenue_Build!E36</f>
        <v>-0.82651653803748615</v>
      </c>
      <c r="G12" s="17">
        <f>G11/Revenue_Build!F36</f>
        <v>2.7168234064785788E-3</v>
      </c>
      <c r="H12" s="17">
        <f>H11/Revenue_Build!G36</f>
        <v>9.0749468625820159E-2</v>
      </c>
      <c r="I12" s="17">
        <f>I11/Revenue_Build!H36</f>
        <v>0.11632546842470506</v>
      </c>
      <c r="J12" s="95" t="e" cm="1">
        <f t="array" aca="1" ref="J12" ca="1">IF(RSQ($E12:$I12*$E13:$I13,$E$3:$I$3)&gt;0.5,((SLOPE($E12:$I12*$E13:$I13,$E$3:$I$3)+I12)*RSQ($E12:$I12*$E13:$I13,$E$3:$I$3)+(AVERAGE(IF($E13:$I13=1,$E12:$I12,""))*(1-RSQ($E12:$I12*$E13:$I13,$E$3:$I$3)))),AVERAGE(IF($E13:$I13=1,$E12:$I12,"")))</f>
        <v>#DIV/0!</v>
      </c>
      <c r="K12" s="95" t="e" cm="1">
        <f t="array" aca="1" ref="K12" ca="1">IF(RSQ($E12:$I12*$E13:$I13,$E$3:$I$3)&gt;0.5,((SLOPE($E12:$I12*$E13:$I13,$E$3:$I$3)+J12)*RSQ($E12:$I12*$E13:$I13,$E$3:$I$3)+(AVERAGE(IF($E13:$I13=1,$E12:$I12,""))*(1-RSQ($E12:$I12*$E13:$I13,$E$3:$I$3)))),AVERAGE(IF($E13:$I13=1,$E12:$I12,"")))</f>
        <v>#DIV/0!</v>
      </c>
      <c r="L12" s="95" t="e" cm="1">
        <f t="array" aca="1" ref="L12" ca="1">IF(RSQ($E12:$I12*$E13:$I13,$E$3:$I$3)&gt;0.5,((SLOPE($E12:$I12*$E13:$I13,$E$3:$I$3)+K12)*RSQ($E12:$I12*$E13:$I13,$E$3:$I$3)+(AVERAGE(IF($E13:$I13=1,$E12:$I12,""))*(1-RSQ($E12:$I12*$E13:$I13,$E$3:$I$3)))),AVERAGE(IF($E13:$I13=1,$E12:$I12,"")))</f>
        <v>#DIV/0!</v>
      </c>
      <c r="M12" s="95" t="e" cm="1">
        <f t="array" aca="1" ref="M12" ca="1">IF(RSQ($E12:$I12*$E13:$I13,$E$3:$I$3)&gt;0.5,((SLOPE($E12:$I12*$E13:$I13,$E$3:$I$3)+L12)*RSQ($E12:$I12*$E13:$I13,$E$3:$I$3)+(AVERAGE(IF($E13:$I13=1,$E12:$I12,""))*(1-RSQ($E12:$I12*$E13:$I13,$E$3:$I$3)))),AVERAGE(IF($E13:$I13=1,$E12:$I12,"")))</f>
        <v>#DIV/0!</v>
      </c>
      <c r="N12" s="95" t="e" cm="1">
        <f t="array" aca="1" ref="N12" ca="1">IF(RSQ($E12:$I12*$E13:$I13,$E$3:$I$3)&gt;0.5,((SLOPE($E12:$I12*$E13:$I13,$E$3:$I$3)+M12)*RSQ($E12:$I12*$E13:$I13,$E$3:$I$3)+(AVERAGE(IF($E13:$I13=1,$E12:$I12,""))*(1-RSQ($E12:$I12*$E13:$I13,$E$3:$I$3)))),AVERAGE(IF($E13:$I13=1,$E12:$I12,"")))</f>
        <v>#DIV/0!</v>
      </c>
      <c r="O12" s="95" t="e" cm="1">
        <f t="array" aca="1" ref="O12" ca="1">IF(RSQ($E12:$I12*$E13:$I13,$E$3:$I$3)&gt;0.5,((SLOPE($E12:$I12*$E13:$I13,$E$3:$I$3)+N12)*RSQ($E12:$I12*$E13:$I13,$E$3:$I$3)+(AVERAGE(IF($E13:$I13=1,$E12:$I12,""))*(1-RSQ($E12:$I12*$E13:$I13,$E$3:$I$3)))),AVERAGE(IF($E13:$I13=1,$E12:$I12,"")))</f>
        <v>#DIV/0!</v>
      </c>
      <c r="P12" s="95" t="e" cm="1">
        <f t="array" aca="1" ref="P12" ca="1">IF(RSQ($E12:$I12*$E13:$I13,$E$3:$I$3)&gt;0.5,((SLOPE($E12:$I12*$E13:$I13,$E$3:$I$3)+O12)*RSQ($E12:$I12*$E13:$I13,$E$3:$I$3)+(AVERAGE(IF($E13:$I13=1,$E12:$I12,""))*(1-RSQ($E12:$I12*$E13:$I13,$E$3:$I$3)))),AVERAGE(IF($E13:$I13=1,$E12:$I12,"")))</f>
        <v>#DIV/0!</v>
      </c>
      <c r="Q12" s="95" t="e" cm="1">
        <f t="array" aca="1" ref="Q12" ca="1">IF(RSQ($E12:$I12*$E13:$I13,$E$3:$I$3)&gt;0.5,((SLOPE($E12:$I12*$E13:$I13,$E$3:$I$3)+P12)*RSQ($E12:$I12*$E13:$I13,$E$3:$I$3)+(AVERAGE(IF($E13:$I13=1,$E12:$I12,""))*(1-RSQ($E12:$I12*$E13:$I13,$E$3:$I$3)))),AVERAGE(IF($E13:$I13=1,$E12:$I12,"")))</f>
        <v>#DIV/0!</v>
      </c>
      <c r="R12" s="95" t="e" cm="1">
        <f t="array" aca="1" ref="R12" ca="1">IF(RSQ($E12:$I12*$E13:$I13,$E$3:$I$3)&gt;0.5,((SLOPE($E12:$I12*$E13:$I13,$E$3:$I$3)+Q12)*RSQ($E12:$I12*$E13:$I13,$E$3:$I$3)+(AVERAGE(IF($E13:$I13=1,$E12:$I12,""))*(1-RSQ($E12:$I12*$E13:$I13,$E$3:$I$3)))),AVERAGE(IF($E13:$I13=1,$E12:$I12,"")))</f>
        <v>#DIV/0!</v>
      </c>
      <c r="S12" s="95" t="e" cm="1">
        <f t="array" aca="1" ref="S12" ca="1">IF(RSQ($E12:$I12*$E13:$I13,$E$3:$I$3)&gt;0.5,((SLOPE($E12:$I12*$E13:$I13,$E$3:$I$3)+R12)*RSQ($E12:$I12*$E13:$I13,$E$3:$I$3)+(AVERAGE(IF($E13:$I13=1,$E12:$I12,""))*(1-RSQ($E12:$I12*$E13:$I13,$E$3:$I$3)))),AVERAGE(IF($E13:$I13=1,$E12:$I12,"")))</f>
        <v>#DIV/0!</v>
      </c>
      <c r="T12" s="95"/>
      <c r="W12" s="85"/>
    </row>
    <row r="13" spans="2:23" x14ac:dyDescent="0.25">
      <c r="B13" s="85" t="s">
        <v>383</v>
      </c>
      <c r="C13" s="11"/>
      <c r="E13" s="266">
        <f>IF(OR(E12&gt;(1.5*(_xlfn.QUARTILE.INC($E12:$I12,3)-_xlfn.QUARTILE.INC($E12:$I12,1))+_xlfn.QUARTILE.INC($E12:$I12,3)),E12&lt;(1.5*(_xlfn.QUARTILE.INC($E12:$I12,3)-_xlfn.QUARTILE.INC($E12:$I12,1)))-_xlfn.QUARTILE.INC($E12:$I12,1),E12&lt;=0),0,1)</f>
        <v>0</v>
      </c>
      <c r="F13" s="266">
        <f t="shared" ref="F13:I13" si="5">IF(OR(F12&gt;(1.5*(_xlfn.QUARTILE.INC($E12:$I12,3)-_xlfn.QUARTILE.INC($E12:$I12,1))+_xlfn.QUARTILE.INC($E12:$I12,3)),F12&lt;(1.5*(_xlfn.QUARTILE.INC($E12:$I12,3)-_xlfn.QUARTILE.INC($E12:$I12,1)))-_xlfn.QUARTILE.INC($E12:$I12,1),F12&lt;=0),0,1)</f>
        <v>0</v>
      </c>
      <c r="G13" s="266">
        <f t="shared" si="5"/>
        <v>0</v>
      </c>
      <c r="H13" s="266">
        <f t="shared" si="5"/>
        <v>0</v>
      </c>
      <c r="I13" s="266">
        <f t="shared" si="5"/>
        <v>0</v>
      </c>
      <c r="J13" s="17"/>
      <c r="K13" s="17"/>
      <c r="L13" s="17"/>
      <c r="M13" s="17"/>
      <c r="N13" s="17"/>
      <c r="O13" s="17"/>
      <c r="P13" s="17"/>
      <c r="Q13" s="17"/>
      <c r="R13" s="17"/>
      <c r="S13" s="17"/>
      <c r="W13" s="85"/>
    </row>
    <row r="15" spans="2:23" ht="15" customHeight="1" x14ac:dyDescent="0.25">
      <c r="C15" t="s">
        <v>212</v>
      </c>
      <c r="E15" s="23">
        <f>E9/SUM(E18:E32)</f>
        <v>13.667140616832201</v>
      </c>
      <c r="F15" s="23">
        <f>F9/SUM(F18:F32)</f>
        <v>27.197343453510438</v>
      </c>
      <c r="G15" s="23">
        <f>G9/SUM(G18:G32)</f>
        <v>14.793313069908814</v>
      </c>
      <c r="H15" s="23">
        <f>H9/SUM(H18:H32)</f>
        <v>14.339882121807465</v>
      </c>
      <c r="I15" s="23">
        <f>I9/SUM(I18:I32)</f>
        <v>13.210384959713519</v>
      </c>
      <c r="J15" s="290" cm="1">
        <f t="array" aca="1" ref="J15" ca="1">IF(RSQ($E15:$I15*$E16:$I16,$E$3:$I$3)&gt;0.5,((SLOPE($E15:$I15*$E16:$I16,$E$3:$I$3)+I15)*RSQ($E15:$I15*$E16:$I16,$E$3:$I$3)+(AVERAGE(IF($E16:$I16=1,$E15:$I15,""))*(1-RSQ($E15:$I15*$E16:$I16,$E$3:$I$3)))),AVERAGE(IF($E16:$I16=1,$E15:$I15,"")))</f>
        <v>14.002680192065501</v>
      </c>
      <c r="K15" s="290" cm="1">
        <f t="array" aca="1" ref="K15" ca="1">IF(RSQ($E15:$I15*$E16:$I16,$E$3:$I$3)&gt;0.5,((SLOPE($E15:$I15*$E16:$I16,$E$3:$I$3)+J15)*RSQ($E15:$I15*$E16:$I16,$E$3:$I$3)+(AVERAGE(IF($E16:$I16=1,$E15:$I15,""))*(1-RSQ($E15:$I15*$E16:$I16,$E$3:$I$3)))),AVERAGE(IF($E16:$I16=1,$E15:$I15,"")))</f>
        <v>14.002680192065501</v>
      </c>
      <c r="L15" s="290" cm="1">
        <f t="array" aca="1" ref="L15" ca="1">IF(RSQ($E15:$I15*$E16:$I16,$E$3:$I$3)&gt;0.5,((SLOPE($E15:$I15*$E16:$I16,$E$3:$I$3)+K15)*RSQ($E15:$I15*$E16:$I16,$E$3:$I$3)+(AVERAGE(IF($E16:$I16=1,$E15:$I15,""))*(1-RSQ($E15:$I15*$E16:$I16,$E$3:$I$3)))),AVERAGE(IF($E16:$I16=1,$E15:$I15,"")))</f>
        <v>14.002680192065501</v>
      </c>
      <c r="M15" s="290" cm="1">
        <f t="array" aca="1" ref="M15" ca="1">IF(RSQ($E15:$I15*$E16:$I16,$E$3:$I$3)&gt;0.5,((SLOPE($E15:$I15*$E16:$I16,$E$3:$I$3)+L15)*RSQ($E15:$I15*$E16:$I16,$E$3:$I$3)+(AVERAGE(IF($E16:$I16=1,$E15:$I15,""))*(1-RSQ($E15:$I15*$E16:$I16,$E$3:$I$3)))),AVERAGE(IF($E16:$I16=1,$E15:$I15,"")))</f>
        <v>14.002680192065501</v>
      </c>
      <c r="N15" s="290" cm="1">
        <f t="array" aca="1" ref="N15" ca="1">IF(RSQ($E15:$I15*$E16:$I16,$E$3:$I$3)&gt;0.5,((SLOPE($E15:$I15*$E16:$I16,$E$3:$I$3)+M15)*RSQ($E15:$I15*$E16:$I16,$E$3:$I$3)+(AVERAGE(IF($E16:$I16=1,$E15:$I15,""))*(1-RSQ($E15:$I15*$E16:$I16,$E$3:$I$3)))),AVERAGE(IF($E16:$I16=1,$E15:$I15,"")))</f>
        <v>14.002680192065501</v>
      </c>
      <c r="O15" s="290" cm="1">
        <f t="array" aca="1" ref="O15" ca="1">IF(RSQ($E15:$I15*$E16:$I16,$E$3:$I$3)&gt;0.5,((SLOPE($E15:$I15*$E16:$I16,$E$3:$I$3)+N15)*RSQ($E15:$I15*$E16:$I16,$E$3:$I$3)+(AVERAGE(IF($E16:$I16=1,$E15:$I15,""))*(1-RSQ($E15:$I15*$E16:$I16,$E$3:$I$3)))),AVERAGE(IF($E16:$I16=1,$E15:$I15,"")))</f>
        <v>14.002680192065501</v>
      </c>
      <c r="P15" s="290" cm="1">
        <f t="array" aca="1" ref="P15" ca="1">IF(RSQ($E15:$I15*$E16:$I16,$E$3:$I$3)&gt;0.5,((SLOPE($E15:$I15*$E16:$I16,$E$3:$I$3)+O15)*RSQ($E15:$I15*$E16:$I16,$E$3:$I$3)+(AVERAGE(IF($E16:$I16=1,$E15:$I15,""))*(1-RSQ($E15:$I15*$E16:$I16,$E$3:$I$3)))),AVERAGE(IF($E16:$I16=1,$E15:$I15,"")))</f>
        <v>14.002680192065501</v>
      </c>
      <c r="Q15" s="290" cm="1">
        <f t="array" aca="1" ref="Q15" ca="1">IF(RSQ($E15:$I15*$E16:$I16,$E$3:$I$3)&gt;0.5,((SLOPE($E15:$I15*$E16:$I16,$E$3:$I$3)+P15)*RSQ($E15:$I15*$E16:$I16,$E$3:$I$3)+(AVERAGE(IF($E16:$I16=1,$E15:$I15,""))*(1-RSQ($E15:$I15*$E16:$I16,$E$3:$I$3)))),AVERAGE(IF($E16:$I16=1,$E15:$I15,"")))</f>
        <v>14.002680192065501</v>
      </c>
      <c r="R15" s="290" cm="1">
        <f t="array" aca="1" ref="R15" ca="1">IF(RSQ($E15:$I15*$E16:$I16,$E$3:$I$3)&gt;0.5,((SLOPE($E15:$I15*$E16:$I16,$E$3:$I$3)+Q15)*RSQ($E15:$I15*$E16:$I16,$E$3:$I$3)+(AVERAGE(IF($E16:$I16=1,$E15:$I15,""))*(1-RSQ($E15:$I15*$E16:$I16,$E$3:$I$3)))),AVERAGE(IF($E16:$I16=1,$E15:$I15,"")))</f>
        <v>14.002680192065501</v>
      </c>
      <c r="S15" s="290" cm="1">
        <f t="array" aca="1" ref="S15" ca="1">IF(RSQ($E15:$I15*$E16:$I16,$E$3:$I$3)&gt;0.5,((SLOPE($E15:$I15*$E16:$I16,$E$3:$I$3)+R15)*RSQ($E15:$I15*$E16:$I16,$E$3:$I$3)+(AVERAGE(IF($E16:$I16=1,$E15:$I15,""))*(1-RSQ($E15:$I15*$E16:$I16,$E$3:$I$3)))),AVERAGE(IF($E16:$I16=1,$E15:$I15,"")))</f>
        <v>14.002680192065501</v>
      </c>
      <c r="T15" s="282"/>
      <c r="U15" s="289"/>
    </row>
    <row r="16" spans="2:23" ht="15" customHeight="1" x14ac:dyDescent="0.25">
      <c r="B16" s="85" t="s">
        <v>383</v>
      </c>
      <c r="E16" s="266">
        <f>IF(OR(E15&gt;(1.5*(_xlfn.QUARTILE.INC($E15:$I15,3)-_xlfn.QUARTILE.INC($E15:$I15,1))+_xlfn.QUARTILE.INC($E15:$I15,3)),E15&lt;(1.5*(_xlfn.QUARTILE.INC($E15:$I15,3)-_xlfn.QUARTILE.INC($E15:$I15,1)))-_xlfn.QUARTILE.INC($E15:$I15,1)),0,1)</f>
        <v>1</v>
      </c>
      <c r="F16" s="266">
        <f t="shared" ref="F16:H16" si="6">IF(OR(F15&gt;(1.5*(_xlfn.QUARTILE.INC($E15:$I15,3)-_xlfn.QUARTILE.INC($E15:$I15,1))+_xlfn.QUARTILE.INC($E15:$I15,3)),F15&lt;(1.5*(_xlfn.QUARTILE.INC($E15:$I15,3)-_xlfn.QUARTILE.INC($E15:$I15,1)))-_xlfn.QUARTILE.INC($E15:$I15,1)),0,1)</f>
        <v>0</v>
      </c>
      <c r="G16" s="266">
        <f t="shared" si="6"/>
        <v>1</v>
      </c>
      <c r="H16" s="266">
        <f t="shared" si="6"/>
        <v>1</v>
      </c>
      <c r="I16" s="266">
        <f>IF(OR(I15&gt;(1.5*(_xlfn.QUARTILE.INC($E15:$I15,3)-_xlfn.QUARTILE.INC($E15:$I15,1))+_xlfn.QUARTILE.INC($E15:$I15,3)),I15&lt;(1.5*(_xlfn.QUARTILE.INC($E15:$I15,3)-_xlfn.QUARTILE.INC($E15:$I15,1)))-_xlfn.QUARTILE.INC($E15:$I15,1)),0,1)</f>
        <v>1</v>
      </c>
    </row>
    <row r="17" spans="3:20" x14ac:dyDescent="0.25">
      <c r="C17" t="s">
        <v>213</v>
      </c>
    </row>
    <row r="18" spans="3:20" x14ac:dyDescent="0.25">
      <c r="C18">
        <f ca="1">C19-1</f>
        <v>2019</v>
      </c>
      <c r="E18" s="234">
        <f>Operating_Model!E108</f>
        <v>191.29999999999998</v>
      </c>
      <c r="F18" s="255"/>
      <c r="G18" s="255"/>
      <c r="H18" s="255"/>
      <c r="I18" s="255"/>
      <c r="J18" s="252">
        <f ca="1">IF($F$15 - (J$3-$C18) &gt;= 1, $E$11/$F$15, IF(AND($F$15 - (J$3-$C18) &gt;= 0, $F$15 - (J$3-$C18) &lt; 1), ($F$15 - (J$3-$C18)) * ($E$11/$F$15), 0))</f>
        <v>5.1646955975720354</v>
      </c>
      <c r="K18" s="252">
        <f t="shared" ref="K18:S18" ca="1" si="7">IF($F$15 - (K$3-$C18) &gt;= 1, $E$11/$F$15, IF(AND($F$15 - (K$3-$C18) &gt;= 0, $F$15 - (K$3-$C18) &lt; 1), ($F$15 - (K$3-$C18)) * ($E$11/$F$15), 0))</f>
        <v>5.1646955975720354</v>
      </c>
      <c r="L18" s="252">
        <f t="shared" ca="1" si="7"/>
        <v>5.1646955975720354</v>
      </c>
      <c r="M18" s="252">
        <f t="shared" ca="1" si="7"/>
        <v>5.1646955975720354</v>
      </c>
      <c r="N18" s="252">
        <f t="shared" ca="1" si="7"/>
        <v>5.1646955975720354</v>
      </c>
      <c r="O18" s="252">
        <f t="shared" ca="1" si="7"/>
        <v>5.1646955975720354</v>
      </c>
      <c r="P18" s="252">
        <f t="shared" ca="1" si="7"/>
        <v>5.1646955975720354</v>
      </c>
      <c r="Q18" s="252">
        <f t="shared" ca="1" si="7"/>
        <v>5.1646955975720354</v>
      </c>
      <c r="R18" s="252">
        <f t="shared" ca="1" si="7"/>
        <v>5.1646955975720354</v>
      </c>
      <c r="S18" s="252">
        <f t="shared" ca="1" si="7"/>
        <v>5.1646955975720354</v>
      </c>
    </row>
    <row r="19" spans="3:20" x14ac:dyDescent="0.25">
      <c r="C19">
        <f ca="1">C20-1</f>
        <v>2020</v>
      </c>
      <c r="E19" s="255"/>
      <c r="F19" s="234">
        <f>Operating_Model!F108</f>
        <v>527</v>
      </c>
      <c r="G19" s="255"/>
      <c r="H19" s="255"/>
      <c r="I19" s="255"/>
      <c r="J19" s="252">
        <f ca="1">IF($G$15 - (J$3-$C19) &gt;= 1, $F$11/$G$15, IF(AND($G$15 - (J$3-$C19) &gt;= 0, $G$15 - (J$3-$C19) &lt; 1), ($G$15 - (J$3-$C19)) * ($F$11/$G$15), 0))</f>
        <v>-202.6998269981508</v>
      </c>
      <c r="K19" s="252">
        <f t="shared" ref="K19:S19" ca="1" si="8">IF($G$15 - (K$3-$C19) &gt;= 1, $F$11/$G$15, IF(AND($G$15 - (K$3-$C19) &gt;= 0, $G$15 - (K$3-$C19) &lt; 1), ($G$15 - (K$3-$C19)) * ($F$11/$G$15), 0))</f>
        <v>-202.6998269981508</v>
      </c>
      <c r="L19" s="252">
        <f t="shared" ca="1" si="8"/>
        <v>-202.6998269981508</v>
      </c>
      <c r="M19" s="252">
        <f t="shared" ca="1" si="8"/>
        <v>-202.6998269981508</v>
      </c>
      <c r="N19" s="252">
        <f t="shared" ca="1" si="8"/>
        <v>-202.6998269981508</v>
      </c>
      <c r="O19" s="252">
        <f t="shared" ca="1" si="8"/>
        <v>-202.6998269981508</v>
      </c>
      <c r="P19" s="252">
        <f t="shared" ca="1" si="8"/>
        <v>-202.6998269981508</v>
      </c>
      <c r="Q19" s="252">
        <f t="shared" ca="1" si="8"/>
        <v>-202.6998269981508</v>
      </c>
      <c r="R19" s="252">
        <f t="shared" ca="1" si="8"/>
        <v>-202.6998269981508</v>
      </c>
      <c r="S19" s="252">
        <f t="shared" ca="1" si="8"/>
        <v>-202.6998269981508</v>
      </c>
    </row>
    <row r="20" spans="3:20" x14ac:dyDescent="0.25">
      <c r="C20">
        <f ca="1">C21-1</f>
        <v>2021</v>
      </c>
      <c r="E20" s="255"/>
      <c r="F20" s="255"/>
      <c r="G20" s="234">
        <f>Operating_Model!G108</f>
        <v>987</v>
      </c>
      <c r="H20" s="255"/>
      <c r="I20" s="255"/>
      <c r="J20" s="252">
        <f ca="1">IF($H$15 - (J$3-$C20) &gt;= 1, $G$11/$H$15, IF(AND($H$15 - (J$3-$C20) &gt;= 0, $H$15 - (J$3-$C20) &lt; 1), ($H$15 - (J$3-$C20)) * ($G$11/$H$15), 0))</f>
        <v>1.8131250856281684</v>
      </c>
      <c r="K20" s="252">
        <f t="shared" ref="K20:S20" ca="1" si="9">IF($H$15 - (K$3-$C20) &gt;= 1, $G$11/$H$15, IF(AND($H$15 - (K$3-$C20) &gt;= 0, $H$15 - (K$3-$C20) &lt; 1), ($H$15 - (K$3-$C20)) * ($G$11/$H$15), 0))</f>
        <v>1.8131250856281684</v>
      </c>
      <c r="L20" s="252">
        <f t="shared" ca="1" si="9"/>
        <v>1.8131250856281684</v>
      </c>
      <c r="M20" s="252">
        <f t="shared" ca="1" si="9"/>
        <v>1.8131250856281684</v>
      </c>
      <c r="N20" s="252">
        <f t="shared" ca="1" si="9"/>
        <v>1.8131250856281684</v>
      </c>
      <c r="O20" s="252">
        <f t="shared" ca="1" si="9"/>
        <v>1.8131250856281684</v>
      </c>
      <c r="P20" s="252">
        <f t="shared" ca="1" si="9"/>
        <v>1.8131250856281684</v>
      </c>
      <c r="Q20" s="252">
        <f t="shared" ca="1" si="9"/>
        <v>1.8131250856281684</v>
      </c>
      <c r="R20" s="252">
        <f t="shared" ca="1" si="9"/>
        <v>1.8131250856281684</v>
      </c>
      <c r="S20" s="252">
        <f t="shared" ca="1" si="9"/>
        <v>1.8131250856281684</v>
      </c>
    </row>
    <row r="21" spans="3:20" x14ac:dyDescent="0.25">
      <c r="C21">
        <f ca="1">C22-1</f>
        <v>2022</v>
      </c>
      <c r="E21" s="255"/>
      <c r="F21" s="255"/>
      <c r="G21" s="255"/>
      <c r="H21" s="234">
        <f>Operating_Model!H108</f>
        <v>1018</v>
      </c>
      <c r="I21" s="255"/>
      <c r="J21" s="252">
        <f ca="1">IF($I$15 - (J$3-$C21) &gt;= 1, $H$11/$I$15, IF(AND($I$15 - (J$3-$C21) &gt;= 0, $I$15 - (J$3-$C21) &lt; 1), ($I$15 - (J$3-$C21)) * ($H$11/$I$15), 0))</f>
        <v>74.335456763350493</v>
      </c>
      <c r="K21" s="252">
        <f t="shared" ref="K21:S21" ca="1" si="10">IF($I$15 - (K$3-$C21) &gt;= 1, $H$11/$I$15, IF(AND($I$15 - (K$3-$C21) &gt;= 0, $I$15 - (K$3-$C21) &lt; 1), ($I$15 - (K$3-$C21)) * ($H$11/$I$15), 0))</f>
        <v>74.335456763350493</v>
      </c>
      <c r="L21" s="252">
        <f t="shared" ca="1" si="10"/>
        <v>74.335456763350493</v>
      </c>
      <c r="M21" s="252">
        <f t="shared" ca="1" si="10"/>
        <v>74.335456763350493</v>
      </c>
      <c r="N21" s="252">
        <f t="shared" ca="1" si="10"/>
        <v>74.335456763350493</v>
      </c>
      <c r="O21" s="252">
        <f t="shared" ca="1" si="10"/>
        <v>74.335456763350493</v>
      </c>
      <c r="P21" s="252">
        <f t="shared" ca="1" si="10"/>
        <v>74.335456763350493</v>
      </c>
      <c r="Q21" s="252">
        <f t="shared" ca="1" si="10"/>
        <v>74.335456763350493</v>
      </c>
      <c r="R21" s="252">
        <f t="shared" ca="1" si="10"/>
        <v>74.335456763350493</v>
      </c>
      <c r="S21" s="252">
        <f t="shared" ca="1" si="10"/>
        <v>74.335456763350493</v>
      </c>
    </row>
    <row r="22" spans="3:20" x14ac:dyDescent="0.25">
      <c r="C22">
        <f ca="1">YEAR(Historicals!H9)</f>
        <v>2023</v>
      </c>
      <c r="E22" s="255"/>
      <c r="F22" s="255"/>
      <c r="G22" s="255"/>
      <c r="H22" s="255"/>
      <c r="I22" s="234">
        <f>Operating_Model!I108</f>
        <v>1117</v>
      </c>
      <c r="J22" s="252">
        <f ca="1">IF($J$15 - (J$3-$C22) &gt;= 1, $I$11/$J$15, IF(AND($J$15 - (J$3-$C22) &gt;= 0, $J$15 - (J$3-$C22) &lt; 1), ($J$15 - (J$3-$C22)) * ($I$11/$J$15), 0))</f>
        <v>95.767380359073414</v>
      </c>
      <c r="K22" s="252">
        <f t="shared" ref="K22:S22" ca="1" si="11">IF($J$15 - (K$3-$C22) &gt;= 1, $I$11/$J$15, IF(AND($J$15 - (K$3-$C22) &gt;= 0, $J$15 - (K$3-$C22) &lt; 1), ($J$15 - (K$3-$C22)) * ($I$11/$J$15), 0))</f>
        <v>95.767380359073414</v>
      </c>
      <c r="L22" s="252">
        <f t="shared" ca="1" si="11"/>
        <v>95.767380359073414</v>
      </c>
      <c r="M22" s="252">
        <f t="shared" ca="1" si="11"/>
        <v>95.767380359073414</v>
      </c>
      <c r="N22" s="252">
        <f t="shared" ca="1" si="11"/>
        <v>95.767380359073414</v>
      </c>
      <c r="O22" s="252">
        <f t="shared" ca="1" si="11"/>
        <v>95.767380359073414</v>
      </c>
      <c r="P22" s="252">
        <f t="shared" ca="1" si="11"/>
        <v>95.767380359073414</v>
      </c>
      <c r="Q22" s="252">
        <f t="shared" ca="1" si="11"/>
        <v>95.767380359073414</v>
      </c>
      <c r="R22" s="252">
        <f t="shared" ca="1" si="11"/>
        <v>95.767380359073414</v>
      </c>
      <c r="S22" s="252">
        <f t="shared" ca="1" si="11"/>
        <v>95.767380359073414</v>
      </c>
      <c r="T22" s="85"/>
    </row>
    <row r="23" spans="3:20" ht="15" customHeight="1" x14ac:dyDescent="0.25">
      <c r="C23">
        <f t="shared" ref="C23:C32" ca="1" si="12">C22+1</f>
        <v>2024</v>
      </c>
      <c r="E23" s="255"/>
      <c r="F23" s="255"/>
      <c r="G23" s="255"/>
      <c r="H23" s="255"/>
      <c r="I23" s="255"/>
      <c r="J23" s="252" t="e">
        <f ca="1">IF($K$15 - (J$3-$C23) &gt;= 1, $J$11/$K$15, IF(AND($K$15 - (J$3-$C23) &gt;= 0, $K$15 - (J$3-$C23) &lt; 1), ($K$15 - (J$3-$C23)) * ($J$11/$K$15), 0))</f>
        <v>#DIV/0!</v>
      </c>
      <c r="K23" s="252" t="e">
        <f t="shared" ref="K23:S23" ca="1" si="13">IF($K$15 - (K$3-$C23) &gt;= 1, $J$11/$K$15, IF(AND($K$15 - (K$3-$C23) &gt;= 0, $K$15 - (K$3-$C23) &lt; 1), ($K$15 - (K$3-$C23)) * ($J$11/$K$15), 0))</f>
        <v>#DIV/0!</v>
      </c>
      <c r="L23" s="252" t="e">
        <f t="shared" ca="1" si="13"/>
        <v>#DIV/0!</v>
      </c>
      <c r="M23" s="252" t="e">
        <f t="shared" ca="1" si="13"/>
        <v>#DIV/0!</v>
      </c>
      <c r="N23" s="252" t="e">
        <f t="shared" ca="1" si="13"/>
        <v>#DIV/0!</v>
      </c>
      <c r="O23" s="252" t="e">
        <f t="shared" ca="1" si="13"/>
        <v>#DIV/0!</v>
      </c>
      <c r="P23" s="252" t="e">
        <f t="shared" ca="1" si="13"/>
        <v>#DIV/0!</v>
      </c>
      <c r="Q23" s="252" t="e">
        <f t="shared" ca="1" si="13"/>
        <v>#DIV/0!</v>
      </c>
      <c r="R23" s="252" t="e">
        <f t="shared" ca="1" si="13"/>
        <v>#DIV/0!</v>
      </c>
      <c r="S23" s="252" t="e">
        <f t="shared" ca="1" si="13"/>
        <v>#DIV/0!</v>
      </c>
      <c r="T23" s="85"/>
    </row>
    <row r="24" spans="3:20" x14ac:dyDescent="0.25">
      <c r="C24">
        <f t="shared" ca="1" si="12"/>
        <v>2025</v>
      </c>
      <c r="E24" s="255"/>
      <c r="F24" s="255"/>
      <c r="G24" s="255"/>
      <c r="H24" s="255"/>
      <c r="I24" s="255"/>
      <c r="J24" s="255"/>
      <c r="K24" s="252" t="e">
        <f t="shared" ref="K24:R24" ca="1" si="14">IF($L$15 - (K$3-$C24) &gt;= 1, $K$11/$L$15, IF(AND($L$15 - (K$3-$C24) &gt;= 0, $L$15 - (K$3-$C24) &lt; 1), ($L$15 - (K$3-$C24)) * ($K$11/$L$15), 0))</f>
        <v>#DIV/0!</v>
      </c>
      <c r="L24" s="252" t="e">
        <f t="shared" ca="1" si="14"/>
        <v>#DIV/0!</v>
      </c>
      <c r="M24" s="252" t="e">
        <f t="shared" ca="1" si="14"/>
        <v>#DIV/0!</v>
      </c>
      <c r="N24" s="252" t="e">
        <f t="shared" ca="1" si="14"/>
        <v>#DIV/0!</v>
      </c>
      <c r="O24" s="252" t="e">
        <f t="shared" ca="1" si="14"/>
        <v>#DIV/0!</v>
      </c>
      <c r="P24" s="252" t="e">
        <f t="shared" ca="1" si="14"/>
        <v>#DIV/0!</v>
      </c>
      <c r="Q24" s="252" t="e">
        <f t="shared" ca="1" si="14"/>
        <v>#DIV/0!</v>
      </c>
      <c r="R24" s="252" t="e">
        <f t="shared" ca="1" si="14"/>
        <v>#DIV/0!</v>
      </c>
      <c r="S24" s="252" t="e">
        <f ca="1">IF($L$15 - (S$3-$C24) &gt;= 1, $K$11/$L$15, IF(AND($L$15 - (S$3-$C24) &gt;= 0, $L$15 - (S$3-$C24) &lt; 1), ($L$15 - (S$3-$C24)) * ($K$11/$L$15), 0))</f>
        <v>#DIV/0!</v>
      </c>
      <c r="T24" s="85"/>
    </row>
    <row r="25" spans="3:20" x14ac:dyDescent="0.25">
      <c r="C25">
        <f t="shared" ca="1" si="12"/>
        <v>2026</v>
      </c>
      <c r="E25" s="255"/>
      <c r="F25" s="255"/>
      <c r="G25" s="255"/>
      <c r="H25" s="255"/>
      <c r="I25" s="255"/>
      <c r="J25" s="255"/>
      <c r="K25" s="255"/>
      <c r="L25" s="252" t="e">
        <f t="shared" ref="L25:R25" ca="1" si="15">IF($M$15 - (L$3-$C25) &gt;= 1, $L$11/$M$15, IF(AND($M$15 - (L$3-$C25) &gt;= 0, $M$15 - (L$3-$C25) &lt; 1), ($M$15 - (L$3-$C25)) * ($L$11/$M$15), 0))</f>
        <v>#DIV/0!</v>
      </c>
      <c r="M25" s="252" t="e">
        <f t="shared" ca="1" si="15"/>
        <v>#DIV/0!</v>
      </c>
      <c r="N25" s="252" t="e">
        <f t="shared" ca="1" si="15"/>
        <v>#DIV/0!</v>
      </c>
      <c r="O25" s="252" t="e">
        <f t="shared" ca="1" si="15"/>
        <v>#DIV/0!</v>
      </c>
      <c r="P25" s="252" t="e">
        <f t="shared" ca="1" si="15"/>
        <v>#DIV/0!</v>
      </c>
      <c r="Q25" s="252" t="e">
        <f t="shared" ca="1" si="15"/>
        <v>#DIV/0!</v>
      </c>
      <c r="R25" s="252" t="e">
        <f t="shared" ca="1" si="15"/>
        <v>#DIV/0!</v>
      </c>
      <c r="S25" s="252" t="e">
        <f ca="1">IF($M$15 - (S$3-$C25) &gt;= 1, $L$11/$M$15, IF(AND($M$15 - (S$3-$C25) &gt;= 0, $M$15 - (S$3-$C25) &lt; 1), ($M$15 - (S$3-$C25)) * ($L$11/$M$15), 0))</f>
        <v>#DIV/0!</v>
      </c>
      <c r="T25" s="85"/>
    </row>
    <row r="26" spans="3:20" x14ac:dyDescent="0.25">
      <c r="C26">
        <f t="shared" ca="1" si="12"/>
        <v>2027</v>
      </c>
      <c r="E26" s="255"/>
      <c r="F26" s="255"/>
      <c r="G26" s="255"/>
      <c r="H26" s="255"/>
      <c r="I26" s="255"/>
      <c r="J26" s="255"/>
      <c r="K26" s="255"/>
      <c r="L26" s="255"/>
      <c r="M26" s="252" t="e">
        <f t="shared" ref="M26:R26" ca="1" si="16">IF($N$15 - (M$3-$C26) &gt;= 1, $L$11/$N$15, IF(AND($N$15 - (M$3-$C26) &gt;= 0, $N$15 - (M$3-$C26) &lt; 1), ($N$15 - (M$3-$C26)) * ($L$11/$N$15), 0))</f>
        <v>#DIV/0!</v>
      </c>
      <c r="N26" s="252" t="e">
        <f t="shared" ca="1" si="16"/>
        <v>#DIV/0!</v>
      </c>
      <c r="O26" s="252" t="e">
        <f t="shared" ca="1" si="16"/>
        <v>#DIV/0!</v>
      </c>
      <c r="P26" s="252" t="e">
        <f t="shared" ca="1" si="16"/>
        <v>#DIV/0!</v>
      </c>
      <c r="Q26" s="252" t="e">
        <f t="shared" ca="1" si="16"/>
        <v>#DIV/0!</v>
      </c>
      <c r="R26" s="252" t="e">
        <f t="shared" ca="1" si="16"/>
        <v>#DIV/0!</v>
      </c>
      <c r="S26" s="252" t="e">
        <f ca="1">IF($N$15 - (S$3-$C26) &gt;= 1, $L$11/$N$15, IF(AND($N$15 - (S$3-$C26) &gt;= 0, $N$15 - (S$3-$C26) &lt; 1), ($N$15 - (S$3-$C26)) * ($L$11/$N$15), 0))</f>
        <v>#DIV/0!</v>
      </c>
      <c r="T26" s="85"/>
    </row>
    <row r="27" spans="3:20" x14ac:dyDescent="0.25">
      <c r="C27">
        <f t="shared" ca="1" si="12"/>
        <v>2028</v>
      </c>
      <c r="E27" s="255"/>
      <c r="F27" s="255"/>
      <c r="G27" s="255"/>
      <c r="H27" s="255"/>
      <c r="I27" s="255"/>
      <c r="J27" s="255"/>
      <c r="K27" s="255"/>
      <c r="L27" s="255"/>
      <c r="M27" s="255"/>
      <c r="N27" s="252" t="e">
        <f t="shared" ref="N27:R27" ca="1" si="17">IF($O$15 - (N$3-$C27) &gt;= 1, $N$11/$O$15, IF(AND($O$15 - (N$3-$C27) &gt;= 0, $O$15 - (N$3-$C27) &lt; 1), ($O$15 - (N$3-$C27)) * ($N$11/$O$15), 0))</f>
        <v>#DIV/0!</v>
      </c>
      <c r="O27" s="252" t="e">
        <f t="shared" ca="1" si="17"/>
        <v>#DIV/0!</v>
      </c>
      <c r="P27" s="252" t="e">
        <f t="shared" ca="1" si="17"/>
        <v>#DIV/0!</v>
      </c>
      <c r="Q27" s="252" t="e">
        <f t="shared" ca="1" si="17"/>
        <v>#DIV/0!</v>
      </c>
      <c r="R27" s="252" t="e">
        <f t="shared" ca="1" si="17"/>
        <v>#DIV/0!</v>
      </c>
      <c r="S27" s="252" t="e">
        <f ca="1">IF($O$15 - (S$3-$C27) &gt;= 1, $N$11/$O$15, IF(AND($O$15 - (S$3-$C27) &gt;= 0, $O$15 - (S$3-$C27) &lt; 1), ($O$15 - (S$3-$C27)) * ($N$11/$O$15), 0))</f>
        <v>#DIV/0!</v>
      </c>
      <c r="T27" s="85"/>
    </row>
    <row r="28" spans="3:20" x14ac:dyDescent="0.25">
      <c r="C28">
        <f t="shared" ca="1" si="12"/>
        <v>2029</v>
      </c>
      <c r="E28" s="255"/>
      <c r="F28" s="255"/>
      <c r="G28" s="255"/>
      <c r="H28" s="255"/>
      <c r="I28" s="255"/>
      <c r="J28" s="255"/>
      <c r="K28" s="255"/>
      <c r="L28" s="255"/>
      <c r="M28" s="255"/>
      <c r="N28" s="255"/>
      <c r="O28" s="252" t="e">
        <f t="shared" ref="O28:R28" ca="1" si="18">IF($P$15 - (O$3-$C28) &gt;= 1, $O$11/$P$15, IF(AND($P$15 - (O$3-$C28) &gt;= 0, $P$15 - (O$3-$C28) &lt; 1), ($P$15 - (O$3-$C28)) * ($O$11/$P$15), 0))</f>
        <v>#DIV/0!</v>
      </c>
      <c r="P28" s="252" t="e">
        <f t="shared" ca="1" si="18"/>
        <v>#DIV/0!</v>
      </c>
      <c r="Q28" s="252" t="e">
        <f t="shared" ca="1" si="18"/>
        <v>#DIV/0!</v>
      </c>
      <c r="R28" s="252" t="e">
        <f t="shared" ca="1" si="18"/>
        <v>#DIV/0!</v>
      </c>
      <c r="S28" s="252" t="e">
        <f ca="1">IF($P$15 - (S$3-$C28) &gt;= 1, $O$11/$P$15, IF(AND($P$15 - (S$3-$C28) &gt;= 0, $P$15 - (S$3-$C28) &lt; 1), ($P$15 - (S$3-$C28)) * ($O$11/$P$15), 0))</f>
        <v>#DIV/0!</v>
      </c>
      <c r="T28" s="85"/>
    </row>
    <row r="29" spans="3:20" x14ac:dyDescent="0.25">
      <c r="C29">
        <f t="shared" ca="1" si="12"/>
        <v>2030</v>
      </c>
      <c r="E29" s="255"/>
      <c r="F29" s="255"/>
      <c r="G29" s="255"/>
      <c r="H29" s="255"/>
      <c r="I29" s="255"/>
      <c r="J29" s="255"/>
      <c r="K29" s="255"/>
      <c r="L29" s="255"/>
      <c r="M29" s="255"/>
      <c r="N29" s="255"/>
      <c r="O29" s="255"/>
      <c r="P29" s="252" t="e">
        <f t="shared" ref="P29:R29" ca="1" si="19">IF($Q$15 - (P$3-$C29) &gt;= 1, $P$11/$Q$15, IF(AND($Q$15 - (P$3-$C29) &gt;= 0, $Q$15 - (P$3-$C29) &lt; 1), ($Q$15 - (P$3-$C29)) * ($P$11/$Q$15), 0))</f>
        <v>#DIV/0!</v>
      </c>
      <c r="Q29" s="252" t="e">
        <f t="shared" ca="1" si="19"/>
        <v>#DIV/0!</v>
      </c>
      <c r="R29" s="252" t="e">
        <f t="shared" ca="1" si="19"/>
        <v>#DIV/0!</v>
      </c>
      <c r="S29" s="252" t="e">
        <f ca="1">IF($Q$15 - (S$3-$C29) &gt;= 1, $P$11/$Q$15, IF(AND($Q$15 - (S$3-$C29) &gt;= 0, $Q$15 - (S$3-$C29) &lt; 1), ($Q$15 - (S$3-$C29)) * ($P$11/$Q$15), 0))</f>
        <v>#DIV/0!</v>
      </c>
      <c r="T29" s="85"/>
    </row>
    <row r="30" spans="3:20" x14ac:dyDescent="0.25">
      <c r="C30">
        <f t="shared" ca="1" si="12"/>
        <v>2031</v>
      </c>
      <c r="E30" s="255"/>
      <c r="F30" s="255"/>
      <c r="G30" s="255"/>
      <c r="H30" s="255"/>
      <c r="I30" s="255"/>
      <c r="J30" s="255"/>
      <c r="K30" s="255"/>
      <c r="L30" s="255"/>
      <c r="M30" s="255"/>
      <c r="N30" s="255"/>
      <c r="O30" s="255"/>
      <c r="P30" s="255"/>
      <c r="Q30" s="252" t="e">
        <f t="shared" ref="Q30:R30" ca="1" si="20">IF($R$15 - (Q$3-$C30) &gt;= 1, $Q$11/$R$15, IF(AND($R$15 - (Q$3-$C30) &gt;= 0, $R$15 - (Q$3-$C30) &lt; 1), ($R$15 - (Q$3-$C30)) * ($Q$11/$R$15), 0))</f>
        <v>#DIV/0!</v>
      </c>
      <c r="R30" s="252" t="e">
        <f t="shared" ca="1" si="20"/>
        <v>#DIV/0!</v>
      </c>
      <c r="S30" s="252" t="e">
        <f ca="1">IF($R$15 - (S$3-$C30) &gt;= 1, $Q$11/$R$15, IF(AND($R$15 - (S$3-$C30) &gt;= 0, $R$15 - (S$3-$C30) &lt; 1), ($R$15 - (S$3-$C30)) * ($Q$11/$R$15), 0))</f>
        <v>#DIV/0!</v>
      </c>
    </row>
    <row r="31" spans="3:20" x14ac:dyDescent="0.25">
      <c r="C31">
        <f t="shared" ca="1" si="12"/>
        <v>2032</v>
      </c>
      <c r="E31" s="255"/>
      <c r="F31" s="255"/>
      <c r="G31" s="255"/>
      <c r="H31" s="255"/>
      <c r="I31" s="255"/>
      <c r="J31" s="255"/>
      <c r="K31" s="255"/>
      <c r="L31" s="255"/>
      <c r="M31" s="255"/>
      <c r="N31" s="255"/>
      <c r="O31" s="255"/>
      <c r="P31" s="255"/>
      <c r="Q31" s="255"/>
      <c r="R31" s="252" t="e">
        <f ca="1">IF($S$15 - (R$3-$C31) &gt;= 1, $R$11/$S$15, IF(AND($S$15 - (R$3-$C31) &gt;= 0, $S$15 - (R$3-$C31) &lt; 1), ($S$15 - (R$3-$C31)) * ($R$11/$S$15), 0))</f>
        <v>#DIV/0!</v>
      </c>
      <c r="S31" s="252" t="e">
        <f ca="1">IF($S$15 - (S$3-$C31) &gt;= 1, $R$11/$S$15, IF(AND($S$15 - (S$3-$C31) &gt;= 0, $S$15 - (S$3-$C31) &lt; 1), ($S$15 - (S$3-$C31)) * ($R$11/$S$15), 0))</f>
        <v>#DIV/0!</v>
      </c>
    </row>
    <row r="32" spans="3:20" x14ac:dyDescent="0.25">
      <c r="C32">
        <f t="shared" ca="1" si="12"/>
        <v>2033</v>
      </c>
      <c r="E32" s="255"/>
      <c r="F32" s="255"/>
      <c r="G32" s="255"/>
      <c r="H32" s="255"/>
      <c r="I32" s="255"/>
      <c r="J32" s="255"/>
      <c r="K32" s="255"/>
      <c r="L32" s="255"/>
      <c r="M32" s="255"/>
      <c r="N32" s="255"/>
      <c r="O32" s="255"/>
      <c r="P32" s="255"/>
      <c r="Q32" s="255"/>
      <c r="R32" s="255"/>
      <c r="S32" s="252" t="e">
        <f ca="1">IF($S$15 - (S$3-$C32) &gt;= 1, $S$11/$S$15, IF(AND($S$15 - (S$3-$C32) &gt;= 0, $S$15 - (S$3-$C32) &lt; 1), ($S$15 - (S$3-$C32)) * ($S$11/$S$15), 0))</f>
        <v>#DIV/0!</v>
      </c>
    </row>
    <row r="34" spans="2:19" x14ac:dyDescent="0.25">
      <c r="C34" s="101" t="s">
        <v>214</v>
      </c>
      <c r="D34" s="105"/>
      <c r="E34" s="248">
        <f t="shared" ref="E34:S34" si="21">SUM(E18:E32)</f>
        <v>191.29999999999998</v>
      </c>
      <c r="F34" s="248">
        <f t="shared" si="21"/>
        <v>527</v>
      </c>
      <c r="G34" s="248">
        <f t="shared" si="21"/>
        <v>987</v>
      </c>
      <c r="H34" s="248">
        <f t="shared" si="21"/>
        <v>1018</v>
      </c>
      <c r="I34" s="248">
        <f t="shared" si="21"/>
        <v>1117</v>
      </c>
      <c r="J34" s="248" t="e">
        <f t="shared" ca="1" si="21"/>
        <v>#DIV/0!</v>
      </c>
      <c r="K34" s="248" t="e">
        <f t="shared" ca="1" si="21"/>
        <v>#DIV/0!</v>
      </c>
      <c r="L34" s="248" t="e">
        <f t="shared" ca="1" si="21"/>
        <v>#DIV/0!</v>
      </c>
      <c r="M34" s="248" t="e">
        <f t="shared" ca="1" si="21"/>
        <v>#DIV/0!</v>
      </c>
      <c r="N34" s="248" t="e">
        <f t="shared" ca="1" si="21"/>
        <v>#DIV/0!</v>
      </c>
      <c r="O34" s="248" t="e">
        <f t="shared" ca="1" si="21"/>
        <v>#DIV/0!</v>
      </c>
      <c r="P34" s="248" t="e">
        <f t="shared" ca="1" si="21"/>
        <v>#DIV/0!</v>
      </c>
      <c r="Q34" s="248" t="e">
        <f t="shared" ca="1" si="21"/>
        <v>#DIV/0!</v>
      </c>
      <c r="R34" s="248" t="e">
        <f t="shared" ca="1" si="21"/>
        <v>#DIV/0!</v>
      </c>
      <c r="S34" s="248" t="e">
        <f t="shared" ca="1" si="21"/>
        <v>#DIV/0!</v>
      </c>
    </row>
    <row r="35" spans="2:19" x14ac:dyDescent="0.25">
      <c r="C35" s="11" t="s">
        <v>161</v>
      </c>
      <c r="E35" s="17">
        <f>E34/Revenue_Build!D36</f>
        <v>7.5672468354430367E-2</v>
      </c>
      <c r="F35" s="17">
        <f>F34/Revenue_Build!E36</f>
        <v>0.14525909592061742</v>
      </c>
      <c r="G35" s="17">
        <f>G34/Revenue_Build!F36</f>
        <v>0.10313479623824451</v>
      </c>
      <c r="H35" s="17">
        <f>H34/Revenue_Build!G36</f>
        <v>9.4076333056094627E-2</v>
      </c>
      <c r="I35" s="17">
        <f>I34/Revenue_Build!H36</f>
        <v>9.6894517696044416E-2</v>
      </c>
      <c r="J35" s="17" t="e">
        <f ca="1">J34/Revenue_Build!I36</f>
        <v>#DIV/0!</v>
      </c>
      <c r="K35" s="17" t="e">
        <f ca="1">K34/Revenue_Build!J36</f>
        <v>#DIV/0!</v>
      </c>
      <c r="L35" s="17" t="e">
        <f ca="1">L34/Revenue_Build!K36</f>
        <v>#DIV/0!</v>
      </c>
      <c r="M35" s="17" t="e">
        <f ca="1">M34/Revenue_Build!L36</f>
        <v>#DIV/0!</v>
      </c>
      <c r="N35" s="17" t="e">
        <f ca="1">N34/Revenue_Build!M36</f>
        <v>#DIV/0!</v>
      </c>
      <c r="O35" s="17" t="e">
        <f ca="1">O34/Revenue_Build!N36</f>
        <v>#DIV/0!</v>
      </c>
      <c r="P35" s="17" t="e">
        <f ca="1">P34/Revenue_Build!O36</f>
        <v>#DIV/0!</v>
      </c>
      <c r="Q35" s="17" t="e">
        <f ca="1">Q34/Revenue_Build!P36</f>
        <v>#DIV/0!</v>
      </c>
      <c r="R35" s="17" t="e">
        <f ca="1">R34/Revenue_Build!Q36</f>
        <v>#DIV/0!</v>
      </c>
      <c r="S35" s="17" t="e">
        <f ca="1">S34/Revenue_Build!R36</f>
        <v>#DIV/0!</v>
      </c>
    </row>
    <row r="37" spans="2:19" x14ac:dyDescent="0.25">
      <c r="B37" t="s">
        <v>376</v>
      </c>
      <c r="C37" t="s">
        <v>215</v>
      </c>
      <c r="E37" s="268" cm="1">
        <f t="array" ref="E37">_xll.BDP(Hub!$D$4,$B37,"EQY_FUND_RELATIVE_PERIOD",E$5, "EQY_FUND_CRNCY", Hub!$D$8, "FA_ADJUSTED", "ADJ")</f>
        <v>1111.3979999999999</v>
      </c>
      <c r="F37" s="268" cm="1">
        <f t="array" ref="F37">_xll.BDP(Hub!$D$4,$B37,"EQY_FUND_RELATIVE_PERIOD",F$5, "EQY_FUND_CRNCY", Hub!$D$8, "FA_ADJUSTED", "ADJ")</f>
        <v>4253</v>
      </c>
      <c r="G37" s="268" cm="1">
        <f t="array" ref="G37">_xll.BDP(Hub!$D$4,$B37,"EQY_FUND_RELATIVE_PERIOD",G$5, "EQY_FUND_CRNCY", Hub!$D$8, "FA_ADJUSTED", "ADJ")</f>
        <v>4920</v>
      </c>
      <c r="H37" s="268" cm="1">
        <f t="array" ref="H37">_xll.BDP(Hub!$D$4,$B37,"EQY_FUND_RELATIVE_PERIOD",H$5, "EQY_FUND_CRNCY", Hub!$D$8, "FA_ADJUSTED", "ADJ")</f>
        <v>4714</v>
      </c>
      <c r="I37" s="268" cm="1">
        <f t="array" ref="I37">_xll.BDP(Hub!$D$4,$B37,"EQY_FUND_RELATIVE_PERIOD",I$5, "EQY_FUND_CRNCY", Hub!$D$8, "FA_ADJUSTED", "ADJ")</f>
        <v>4523</v>
      </c>
      <c r="J37" s="241">
        <f ca="1">IF(SUM($E37:$I37)=0, 0, IF(RSQ($E37:$I37,$E$3:$I$3)&gt;0.5,((SLOPE($E37:$I37,$E$3:$I$3)+I37)*RSQ($E37:$I37,$E$3:$I$3)+(AVERAGE($E37:$I37)*(1-RSQ($E37:$I37,$E$3:$I$3)))),AVERAGE($E37:$I37)))</f>
        <v>4619.6438263140917</v>
      </c>
      <c r="K37" s="241">
        <f t="shared" ref="K37:S37" ca="1" si="22">IF(SUM($E37:$I37)=0, 0, IF(RSQ($E37:$I37,$E$3:$I$3)&gt;0.5,((SLOPE($E37:$I37,$E$3:$I$3)+J37)*RSQ($E37:$I37,$E$3:$I$3)+(AVERAGE($E37:$I37)*(1-RSQ($E37:$I37,$E$3:$I$3)))),AVERAGE($E37:$I37)))</f>
        <v>4670.964026874577</v>
      </c>
      <c r="L37" s="241">
        <f t="shared" ca="1" si="22"/>
        <v>4698.2162900145813</v>
      </c>
      <c r="M37" s="241">
        <f t="shared" ca="1" si="22"/>
        <v>4712.6878984288305</v>
      </c>
      <c r="N37" s="241">
        <f t="shared" ca="1" si="22"/>
        <v>4720.3726712133666</v>
      </c>
      <c r="O37" s="241">
        <f t="shared" ca="1" si="22"/>
        <v>4724.4534707388575</v>
      </c>
      <c r="P37" s="241">
        <f t="shared" ca="1" si="22"/>
        <v>4726.6204736202908</v>
      </c>
      <c r="Q37" s="241">
        <f t="shared" ca="1" si="22"/>
        <v>4727.7712043677348</v>
      </c>
      <c r="R37" s="241">
        <f t="shared" ca="1" si="22"/>
        <v>4728.3822701233275</v>
      </c>
      <c r="S37" s="241">
        <f t="shared" ca="1" si="22"/>
        <v>4728.7067607641548</v>
      </c>
    </row>
    <row r="38" spans="2:19" x14ac:dyDescent="0.25">
      <c r="C38" t="s">
        <v>216</v>
      </c>
      <c r="E38" s="234">
        <f>Operating_Model!E109</f>
        <v>30.3</v>
      </c>
      <c r="F38" s="234">
        <f>Operating_Model!F109</f>
        <v>56</v>
      </c>
      <c r="G38" s="234">
        <f>Operating_Model!G109</f>
        <v>139</v>
      </c>
      <c r="H38" s="234">
        <f>Operating_Model!H109</f>
        <v>187</v>
      </c>
      <c r="I38" s="234">
        <f>Operating_Model!I109</f>
        <v>144</v>
      </c>
      <c r="J38" s="252">
        <f ca="1">IF(J37=0, 0,J37/J41)</f>
        <v>112.8723486002106</v>
      </c>
      <c r="K38" s="252">
        <f t="shared" ref="K38:S38" ca="1" si="23">IF(K37=0, 0,K37/K41)</f>
        <v>114.12626162590757</v>
      </c>
      <c r="L38" s="252">
        <f t="shared" ca="1" si="23"/>
        <v>114.7921196575943</v>
      </c>
      <c r="M38" s="252">
        <f t="shared" ca="1" si="23"/>
        <v>115.14570631733515</v>
      </c>
      <c r="N38" s="252">
        <f t="shared" ca="1" si="23"/>
        <v>115.33346935389412</v>
      </c>
      <c r="O38" s="252">
        <f t="shared" ca="1" si="23"/>
        <v>115.43317605075787</v>
      </c>
      <c r="P38" s="252">
        <f t="shared" ca="1" si="23"/>
        <v>115.486122709385</v>
      </c>
      <c r="Q38" s="252">
        <f t="shared" ca="1" si="23"/>
        <v>115.51423866095048</v>
      </c>
      <c r="R38" s="252">
        <f t="shared" ca="1" si="23"/>
        <v>115.52916890873064</v>
      </c>
      <c r="S38" s="252">
        <f t="shared" ca="1" si="23"/>
        <v>115.53709723007012</v>
      </c>
    </row>
    <row r="39" spans="2:19" x14ac:dyDescent="0.25">
      <c r="C39" s="11" t="s">
        <v>211</v>
      </c>
      <c r="E39" s="17">
        <f>E38/Revenue_Build!D36</f>
        <v>1.1985759493670886E-2</v>
      </c>
      <c r="F39" s="17">
        <f>F38/Revenue_Build!E36</f>
        <v>1.5435501653803748E-2</v>
      </c>
      <c r="G39" s="17">
        <f>G38/Revenue_Build!F36</f>
        <v>1.4524555903866249E-2</v>
      </c>
      <c r="H39" s="17">
        <f>H38/Revenue_Build!G36</f>
        <v>1.7281212457259033E-2</v>
      </c>
      <c r="I39" s="17">
        <f>I38/Revenue_Build!H36</f>
        <v>1.2491325468424705E-2</v>
      </c>
      <c r="J39" s="95">
        <f ca="1">J38/Revenue_Build!I36</f>
        <v>7.0975527412853179E-3</v>
      </c>
      <c r="K39" s="95">
        <f ca="1">K38/Revenue_Build!J36</f>
        <v>5.1652190378645071E-3</v>
      </c>
      <c r="L39" s="95">
        <f ca="1">L38/Revenue_Build!K36</f>
        <v>3.7114269934611964E-3</v>
      </c>
      <c r="M39" s="95">
        <f ca="1">M38/Revenue_Build!L36</f>
        <v>2.6388136585134914E-3</v>
      </c>
      <c r="N39" s="95">
        <f ca="1">N38/Revenue_Build!M36</f>
        <v>1.8584456841543222E-3</v>
      </c>
      <c r="O39" s="95">
        <f ca="1">O38/Revenue_Build!N36</f>
        <v>1.297155383301028E-3</v>
      </c>
      <c r="P39" s="95">
        <f ca="1">P38/Revenue_Build!O36</f>
        <v>8.9755946639237842E-4</v>
      </c>
      <c r="Q39" s="95">
        <f ca="1">Q38/Revenue_Build!P36</f>
        <v>6.1582801787392013E-4</v>
      </c>
      <c r="R39" s="95">
        <f ca="1">R38/Revenue_Build!Q36</f>
        <v>4.1906179879119587E-4</v>
      </c>
      <c r="S39" s="95">
        <f ca="1">S38/Revenue_Build!R36</f>
        <v>2.8290040130804885E-4</v>
      </c>
    </row>
    <row r="40" spans="2:19" x14ac:dyDescent="0.25">
      <c r="C40" s="11"/>
      <c r="J40" s="71"/>
      <c r="K40" s="71"/>
      <c r="L40" s="71"/>
      <c r="M40" s="71"/>
      <c r="N40" s="71"/>
      <c r="O40" s="71"/>
      <c r="P40" s="71"/>
      <c r="Q40" s="71"/>
      <c r="R40" s="71"/>
      <c r="S40" s="71"/>
    </row>
    <row r="41" spans="2:19" x14ac:dyDescent="0.25">
      <c r="C41" s="11" t="s">
        <v>217</v>
      </c>
      <c r="E41" s="282">
        <f t="shared" ref="E41:I41" si="24">IFERROR(E37/E38, 0)</f>
        <v>36.679801980198015</v>
      </c>
      <c r="F41" s="282">
        <f t="shared" si="24"/>
        <v>75.946428571428569</v>
      </c>
      <c r="G41" s="282">
        <f t="shared" si="24"/>
        <v>35.39568345323741</v>
      </c>
      <c r="H41" s="282">
        <f t="shared" si="24"/>
        <v>25.208556149732619</v>
      </c>
      <c r="I41" s="282">
        <f t="shared" si="24"/>
        <v>31.409722222222221</v>
      </c>
      <c r="J41" s="241">
        <f t="shared" ref="J41:S41" ca="1" si="25">IF(SUM($E41:$I41)=0, 0, IF(RSQ($E41:$I41,$E$3:$I$3)&gt;0.5,((SLOPE($E41:$I41,$E$3:$I$3)+I41)*RSQ($E41:$I41,$E$3:$I$3)+(AVERAGE($E41:$I41)*(1-RSQ($E41:$I41,$E$3:$I$3)))),AVERAGE($E41:$I41)))</f>
        <v>40.92803847536377</v>
      </c>
      <c r="K41" s="241">
        <f t="shared" ca="1" si="25"/>
        <v>40.92803847536377</v>
      </c>
      <c r="L41" s="241">
        <f t="shared" ca="1" si="25"/>
        <v>40.92803847536377</v>
      </c>
      <c r="M41" s="241">
        <f t="shared" ca="1" si="25"/>
        <v>40.92803847536377</v>
      </c>
      <c r="N41" s="241">
        <f t="shared" ca="1" si="25"/>
        <v>40.92803847536377</v>
      </c>
      <c r="O41" s="241">
        <f t="shared" ca="1" si="25"/>
        <v>40.92803847536377</v>
      </c>
      <c r="P41" s="241">
        <f t="shared" ca="1" si="25"/>
        <v>40.92803847536377</v>
      </c>
      <c r="Q41" s="241">
        <f t="shared" ca="1" si="25"/>
        <v>40.92803847536377</v>
      </c>
      <c r="R41" s="241">
        <f t="shared" ca="1" si="25"/>
        <v>40.92803847536377</v>
      </c>
      <c r="S41" s="241">
        <f t="shared" ca="1" si="25"/>
        <v>40.92803847536377</v>
      </c>
    </row>
    <row r="42" spans="2:19" x14ac:dyDescent="0.25">
      <c r="C42" s="11"/>
    </row>
    <row r="43" spans="2:19" x14ac:dyDescent="0.25">
      <c r="C43" t="s">
        <v>218</v>
      </c>
      <c r="E43" s="234">
        <f t="shared" ref="E43:S43" si="26">E38</f>
        <v>30.3</v>
      </c>
      <c r="F43" s="252">
        <f>F37+F38-E37</f>
        <v>3197.6019999999999</v>
      </c>
      <c r="G43" s="252">
        <f t="shared" ref="G43:I43" si="27">G37+G38-F37</f>
        <v>806</v>
      </c>
      <c r="H43" s="252">
        <f t="shared" si="27"/>
        <v>-19</v>
      </c>
      <c r="I43" s="252">
        <f t="shared" si="27"/>
        <v>-47</v>
      </c>
      <c r="J43" s="234">
        <f ca="1">J38</f>
        <v>112.8723486002106</v>
      </c>
      <c r="K43" s="234">
        <f t="shared" ca="1" si="26"/>
        <v>114.12626162590757</v>
      </c>
      <c r="L43" s="234">
        <f t="shared" ca="1" si="26"/>
        <v>114.7921196575943</v>
      </c>
      <c r="M43" s="234">
        <f t="shared" ca="1" si="26"/>
        <v>115.14570631733515</v>
      </c>
      <c r="N43" s="234">
        <f t="shared" ca="1" si="26"/>
        <v>115.33346935389412</v>
      </c>
      <c r="O43" s="234">
        <f t="shared" ca="1" si="26"/>
        <v>115.43317605075787</v>
      </c>
      <c r="P43" s="234">
        <f t="shared" ca="1" si="26"/>
        <v>115.486122709385</v>
      </c>
      <c r="Q43" s="234">
        <f t="shared" ca="1" si="26"/>
        <v>115.51423866095048</v>
      </c>
      <c r="R43" s="234">
        <f t="shared" ca="1" si="26"/>
        <v>115.52916890873064</v>
      </c>
      <c r="S43" s="234">
        <f t="shared" ca="1" si="26"/>
        <v>115.53709723007012</v>
      </c>
    </row>
    <row r="44" spans="2:19" x14ac:dyDescent="0.25">
      <c r="C44" s="11"/>
    </row>
    <row r="45" spans="2:19" x14ac:dyDescent="0.25">
      <c r="C45" s="101" t="s">
        <v>219</v>
      </c>
      <c r="D45" s="105"/>
      <c r="E45" s="248">
        <f t="shared" ref="E45:S45" si="28">E11+E43</f>
        <v>170.76599999999999</v>
      </c>
      <c r="F45" s="248">
        <f t="shared" si="28"/>
        <v>199</v>
      </c>
      <c r="G45" s="248">
        <f t="shared" si="28"/>
        <v>832</v>
      </c>
      <c r="H45" s="248">
        <f t="shared" si="28"/>
        <v>963</v>
      </c>
      <c r="I45" s="248">
        <f t="shared" si="28"/>
        <v>1294</v>
      </c>
      <c r="J45" s="248" t="e">
        <f t="shared" ca="1" si="28"/>
        <v>#DIV/0!</v>
      </c>
      <c r="K45" s="248" t="e">
        <f t="shared" ca="1" si="28"/>
        <v>#DIV/0!</v>
      </c>
      <c r="L45" s="248" t="e">
        <f t="shared" ca="1" si="28"/>
        <v>#DIV/0!</v>
      </c>
      <c r="M45" s="248" t="e">
        <f t="shared" ca="1" si="28"/>
        <v>#DIV/0!</v>
      </c>
      <c r="N45" s="248" t="e">
        <f t="shared" ca="1" si="28"/>
        <v>#DIV/0!</v>
      </c>
      <c r="O45" s="248" t="e">
        <f t="shared" ca="1" si="28"/>
        <v>#DIV/0!</v>
      </c>
      <c r="P45" s="248" t="e">
        <f t="shared" ca="1" si="28"/>
        <v>#DIV/0!</v>
      </c>
      <c r="Q45" s="248" t="e">
        <f t="shared" ca="1" si="28"/>
        <v>#DIV/0!</v>
      </c>
      <c r="R45" s="248" t="e">
        <f t="shared" ca="1" si="28"/>
        <v>#DIV/0!</v>
      </c>
      <c r="S45" s="248" t="e">
        <f t="shared" ca="1" si="28"/>
        <v>#DIV/0!</v>
      </c>
    </row>
    <row r="46" spans="2:19" x14ac:dyDescent="0.25">
      <c r="C46" s="109" t="s">
        <v>220</v>
      </c>
      <c r="D46" s="108"/>
      <c r="E46" s="256">
        <f t="shared" ref="E46:S46" si="29">E34+E38</f>
        <v>221.6</v>
      </c>
      <c r="F46" s="256">
        <f t="shared" si="29"/>
        <v>583</v>
      </c>
      <c r="G46" s="256">
        <f t="shared" si="29"/>
        <v>1126</v>
      </c>
      <c r="H46" s="256">
        <f t="shared" si="29"/>
        <v>1205</v>
      </c>
      <c r="I46" s="256">
        <f t="shared" si="29"/>
        <v>1261</v>
      </c>
      <c r="J46" s="256" t="e">
        <f t="shared" ca="1" si="29"/>
        <v>#DIV/0!</v>
      </c>
      <c r="K46" s="256" t="e">
        <f t="shared" ca="1" si="29"/>
        <v>#DIV/0!</v>
      </c>
      <c r="L46" s="256" t="e">
        <f t="shared" ca="1" si="29"/>
        <v>#DIV/0!</v>
      </c>
      <c r="M46" s="256" t="e">
        <f t="shared" ca="1" si="29"/>
        <v>#DIV/0!</v>
      </c>
      <c r="N46" s="256" t="e">
        <f t="shared" ca="1" si="29"/>
        <v>#DIV/0!</v>
      </c>
      <c r="O46" s="256" t="e">
        <f t="shared" ca="1" si="29"/>
        <v>#DIV/0!</v>
      </c>
      <c r="P46" s="256" t="e">
        <f t="shared" ca="1" si="29"/>
        <v>#DIV/0!</v>
      </c>
      <c r="Q46" s="256" t="e">
        <f t="shared" ca="1" si="29"/>
        <v>#DIV/0!</v>
      </c>
      <c r="R46" s="256" t="e">
        <f t="shared" ca="1" si="29"/>
        <v>#DIV/0!</v>
      </c>
      <c r="S46" s="256" t="e">
        <f t="shared" ca="1" si="29"/>
        <v>#DIV/0!</v>
      </c>
    </row>
    <row r="49" spans="2:9" x14ac:dyDescent="0.25">
      <c r="E49" s="5"/>
      <c r="F49" s="1"/>
      <c r="G49" s="2" t="s">
        <v>80</v>
      </c>
      <c r="H49" s="1"/>
      <c r="I49" s="1"/>
    </row>
    <row r="50" spans="2:9" x14ac:dyDescent="0.25">
      <c r="E50" s="7">
        <f ca="1">YEAR(E51)</f>
        <v>2019</v>
      </c>
      <c r="F50" s="7">
        <f t="shared" ref="F50:I50" ca="1" si="30">YEAR(F51)</f>
        <v>2020</v>
      </c>
      <c r="G50" s="7">
        <f t="shared" ca="1" si="30"/>
        <v>2021</v>
      </c>
      <c r="H50" s="7">
        <f t="shared" ca="1" si="30"/>
        <v>2022</v>
      </c>
      <c r="I50" s="7">
        <f t="shared" ca="1" si="30"/>
        <v>2023</v>
      </c>
    </row>
    <row r="51" spans="2:9" x14ac:dyDescent="0.25">
      <c r="E51" s="9">
        <f t="shared" ref="E51:G51" ca="1" si="31">EOMONTH(F51,-12)</f>
        <v>43830</v>
      </c>
      <c r="F51" s="9">
        <f t="shared" ca="1" si="31"/>
        <v>44196</v>
      </c>
      <c r="G51" s="9">
        <f t="shared" ca="1" si="31"/>
        <v>44561</v>
      </c>
      <c r="H51" s="9">
        <f ca="1">EOMONTH(I51,-12)</f>
        <v>44926</v>
      </c>
      <c r="I51" s="9">
        <f ca="1">DCF!D10</f>
        <v>45291</v>
      </c>
    </row>
    <row r="52" spans="2:9" x14ac:dyDescent="0.25">
      <c r="C52" s="10" t="s">
        <v>400</v>
      </c>
      <c r="E52" s="267" t="s">
        <v>357</v>
      </c>
      <c r="F52" s="267" t="s">
        <v>356</v>
      </c>
      <c r="G52" s="267" t="s">
        <v>355</v>
      </c>
      <c r="H52" s="267" t="s">
        <v>353</v>
      </c>
      <c r="I52" s="267" t="s">
        <v>354</v>
      </c>
    </row>
    <row r="54" spans="2:9" x14ac:dyDescent="0.25">
      <c r="B54" s="85" t="s">
        <v>375</v>
      </c>
      <c r="C54" t="s">
        <v>137</v>
      </c>
      <c r="D54" s="66"/>
      <c r="E54" s="336" cm="1">
        <f t="array" ref="E54">IF(_xll.BDP(Hub!$D$4,$B54,"EQY_FUND_RELATIVE_PERIOD",E$52, "EQY_FUND_CRNCY", Hub!$D$8, "FA_ADJUSTED", "ADJ")="#N/A N/A",0,_xll.BDP(Hub!$D$4,$B54,"EQY_FUND_RELATIVE_PERIOD",E$52, "EQY_FUND_CRNCY", Hub!$D$8,"FA_ADJUSTED", "ADJ"))</f>
        <v>191.29999999999998</v>
      </c>
      <c r="F54" s="336" cm="1">
        <f t="array" ref="F54">IF(_xll.BDP(Hub!$D$4,$B54,"EQY_FUND_RELATIVE_PERIOD",F$52, "EQY_FUND_CRNCY", Hub!$D$8, "FA_ADJUSTED", "ADJ")="#N/A N/A",0,_xll.BDP(Hub!$D$4,$B54,"EQY_FUND_RELATIVE_PERIOD",F$52, "EQY_FUND_CRNCY", Hub!$D$8,"FA_ADJUSTED", "ADJ"))</f>
        <v>527</v>
      </c>
      <c r="G54" s="336" cm="1">
        <f t="array" ref="G54">IF(_xll.BDP(Hub!$D$4,$B54,"EQY_FUND_RELATIVE_PERIOD",G$52, "EQY_FUND_CRNCY", Hub!$D$8, "FA_ADJUSTED", "ADJ")="#N/A N/A",0,_xll.BDP(Hub!$D$4,$B54,"EQY_FUND_RELATIVE_PERIOD",G$52, "EQY_FUND_CRNCY", Hub!$D$8,"FA_ADJUSTED", "ADJ"))</f>
        <v>987</v>
      </c>
      <c r="H54" s="336" cm="1">
        <f t="array" ref="H54">IF(_xll.BDP(Hub!$D$4,$B54,"EQY_FUND_RELATIVE_PERIOD",H$52, "EQY_FUND_CRNCY", Hub!$D$8, "FA_ADJUSTED", "ADJ")="#N/A N/A",0,_xll.BDP(Hub!$D$4,$B54,"EQY_FUND_RELATIVE_PERIOD",H$52, "EQY_FUND_CRNCY", Hub!$D$8,"FA_ADJUSTED", "ADJ"))</f>
        <v>1018</v>
      </c>
      <c r="I54" s="336" cm="1">
        <f t="array" ref="I54">IF(_xll.BDP(Hub!$D$4,$B54,"EQY_FUND_RELATIVE_PERIOD",I$52, "EQY_FUND_CRNCY", Hub!$D$8, "FA_ADJUSTED", "ADJ")="#N/A N/A",0,_xll.BDP(Hub!$D$4,$B54,"EQY_FUND_RELATIVE_PERIOD",I$52, "EQY_FUND_CRNCY", Hub!$D$8,"FA_ADJUSTED", "ADJ"))</f>
        <v>1117</v>
      </c>
    </row>
    <row r="55" spans="2:9" x14ac:dyDescent="0.25">
      <c r="B55" t="s">
        <v>398</v>
      </c>
      <c r="C55" t="s">
        <v>138</v>
      </c>
      <c r="D55" s="66"/>
      <c r="E55" s="336" cm="1">
        <f t="array" ref="E55">IF(_xll.BDP(Hub!$D$4,$B55,"EQY_FUND_RELATIVE_PERIOD",E$52, "EQY_FUND_CRNCY", Hub!$D$8, "FA_ADJUSTED", "ADJ")="#N/A N/A",0,_xll.BDP(Hub!$D$4,$B55,"EQY_FUND_RELATIVE_PERIOD",E$52, "EQY_FUND_CRNCY", Hub!$D$8,"FA_ADJUSTED", "ADJ"))</f>
        <v>30.3</v>
      </c>
      <c r="F55" s="336" cm="1">
        <f t="array" ref="F55">IF(_xll.BDP(Hub!$D$4,$B55,"EQY_FUND_RELATIVE_PERIOD",F$52, "EQY_FUND_CRNCY", Hub!$D$8, "FA_ADJUSTED", "ADJ")="#N/A N/A",0,_xll.BDP(Hub!$D$4,$B55,"EQY_FUND_RELATIVE_PERIOD",F$52, "EQY_FUND_CRNCY", Hub!$D$8,"FA_ADJUSTED", "ADJ"))</f>
        <v>0</v>
      </c>
      <c r="G55" s="336" cm="1">
        <f t="array" ref="G55">IF(_xll.BDP(Hub!$D$4,$B55,"EQY_FUND_RELATIVE_PERIOD",G$52, "EQY_FUND_CRNCY", Hub!$D$8, "FA_ADJUSTED", "ADJ")="#N/A N/A",0,_xll.BDP(Hub!$D$4,$B55,"EQY_FUND_RELATIVE_PERIOD",G$52, "EQY_FUND_CRNCY", Hub!$D$8,"FA_ADJUSTED", "ADJ"))</f>
        <v>0</v>
      </c>
      <c r="H55" s="336" cm="1">
        <f t="array" ref="H55">IF(_xll.BDP(Hub!$D$4,$B55,"EQY_FUND_RELATIVE_PERIOD",H$52, "EQY_FUND_CRNCY", Hub!$D$8, "FA_ADJUSTED", "ADJ")="#N/A N/A",0,_xll.BDP(Hub!$D$4,$B55,"EQY_FUND_RELATIVE_PERIOD",H$52, "EQY_FUND_CRNCY", Hub!$D$8,"FA_ADJUSTED", "ADJ"))</f>
        <v>0</v>
      </c>
      <c r="I55" s="336" cm="1">
        <f t="array" ref="I55">IF(_xll.BDP(Hub!$D$4,$B55,"EQY_FUND_RELATIVE_PERIOD",I$52, "EQY_FUND_CRNCY", Hub!$D$8, "FA_ADJUSTED", "ADJ")="#N/A N/A",0,_xll.BDP(Hub!$D$4,$B55,"EQY_FUND_RELATIVE_PERIOD",I$52, "EQY_FUND_CRNCY", Hub!$D$8,"FA_ADJUSTED", "ADJ"))</f>
        <v>0</v>
      </c>
    </row>
    <row r="56" spans="2:9" x14ac:dyDescent="0.25">
      <c r="B56" t="s">
        <v>370</v>
      </c>
      <c r="C56" s="101" t="s">
        <v>139</v>
      </c>
      <c r="D56" s="102"/>
      <c r="E56" s="331" cm="1">
        <f t="array" ref="E56">IF(_xll.BDP(Hub!$D$4,$B56,"EQY_FUND_RELATIVE_PERIOD",E$52, "EQY_FUND_CRNCY", Hub!$D$8, "FA_ADJUSTED", "ADJ")="#N/A N/A",0,_xll.BDP(Hub!$D$4,$B56,"EQY_FUND_RELATIVE_PERIOD",E$52, "EQY_FUND_CRNCY", Hub!$D$8,"FA_ADJUSTED", "ADJ"))</f>
        <v>221.52499999999998</v>
      </c>
      <c r="F56" s="331" cm="1">
        <f t="array" ref="F56">IF(_xll.BDP(Hub!$D$4,$B56,"EQY_FUND_RELATIVE_PERIOD",F$52, "EQY_FUND_CRNCY", Hub!$D$8, "FA_ADJUSTED", "ADJ")="#N/A N/A",0,_xll.BDP(Hub!$D$4,$B56,"EQY_FUND_RELATIVE_PERIOD",F$52, "EQY_FUND_CRNCY", Hub!$D$8,"FA_ADJUSTED", "ADJ"))</f>
        <v>583</v>
      </c>
      <c r="G56" s="331" cm="1">
        <f t="array" ref="G56">IF(_xll.BDP(Hub!$D$4,$B56,"EQY_FUND_RELATIVE_PERIOD",G$52, "EQY_FUND_CRNCY", Hub!$D$8, "FA_ADJUSTED", "ADJ")="#N/A N/A",0,_xll.BDP(Hub!$D$4,$B56,"EQY_FUND_RELATIVE_PERIOD",G$52, "EQY_FUND_CRNCY", Hub!$D$8,"FA_ADJUSTED", "ADJ"))</f>
        <v>1126</v>
      </c>
      <c r="H56" s="331" cm="1">
        <f t="array" ref="H56">IF(_xll.BDP(Hub!$D$4,$B56,"EQY_FUND_RELATIVE_PERIOD",H$52, "EQY_FUND_CRNCY", Hub!$D$8, "FA_ADJUSTED", "ADJ")="#N/A N/A",0,_xll.BDP(Hub!$D$4,$B56,"EQY_FUND_RELATIVE_PERIOD",H$52, "EQY_FUND_CRNCY", Hub!$D$8,"FA_ADJUSTED", "ADJ"))</f>
        <v>1205</v>
      </c>
      <c r="I56" s="331" cm="1">
        <f t="array" ref="I56">IF(_xll.BDP(Hub!$D$4,$B56,"EQY_FUND_RELATIVE_PERIOD",I$52, "EQY_FUND_CRNCY", Hub!$D$8, "FA_ADJUSTED", "ADJ")="#N/A N/A",0,_xll.BDP(Hub!$D$4,$B56,"EQY_FUND_RELATIVE_PERIOD",I$52, "EQY_FUND_CRNCY", Hub!$D$8,"FA_ADJUSTED", "ADJ"))</f>
        <v>1261</v>
      </c>
    </row>
    <row r="59" spans="2:9" x14ac:dyDescent="0.25">
      <c r="C59" s="10" t="s">
        <v>401</v>
      </c>
    </row>
    <row r="61" spans="2:9" x14ac:dyDescent="0.25">
      <c r="C61" t="s">
        <v>402</v>
      </c>
      <c r="E61" s="234">
        <f>IF(OR(E54=0, E54=""), E56-E55, E54)</f>
        <v>191.29999999999998</v>
      </c>
      <c r="F61" s="234">
        <f t="shared" ref="F61:I61" si="32">IF(OR(F54=0, F54=""), F56-F55, F54)</f>
        <v>527</v>
      </c>
      <c r="G61" s="234">
        <f t="shared" si="32"/>
        <v>987</v>
      </c>
      <c r="H61" s="234">
        <f t="shared" si="32"/>
        <v>1018</v>
      </c>
      <c r="I61" s="234">
        <f t="shared" si="32"/>
        <v>1117</v>
      </c>
    </row>
    <row r="62" spans="2:9" x14ac:dyDescent="0.25">
      <c r="C62" t="s">
        <v>403</v>
      </c>
      <c r="E62" s="234">
        <f>IF(SUM($E37:$I37)=0,0,IF(OR(E55=0, E55=""), E56-E54,E55))</f>
        <v>30.3</v>
      </c>
      <c r="F62" s="234">
        <f t="shared" ref="F62:I62" si="33">IF(SUM($E37:$I37)=0,0,IF(OR(F55=0, F55=""), F56-F54,F55))</f>
        <v>56</v>
      </c>
      <c r="G62" s="234">
        <f t="shared" si="33"/>
        <v>139</v>
      </c>
      <c r="H62" s="234">
        <f t="shared" si="33"/>
        <v>187</v>
      </c>
      <c r="I62" s="234">
        <f t="shared" si="33"/>
        <v>144</v>
      </c>
    </row>
    <row r="63" spans="2:9" x14ac:dyDescent="0.25">
      <c r="C63" s="101" t="s">
        <v>139</v>
      </c>
      <c r="D63" s="102"/>
      <c r="E63" s="331">
        <f t="shared" ref="E63:H63" si="34">IF(OR(E56=0,E56=""), E54+E55, E56)</f>
        <v>221.52499999999998</v>
      </c>
      <c r="F63" s="331">
        <f t="shared" si="34"/>
        <v>583</v>
      </c>
      <c r="G63" s="331">
        <f t="shared" si="34"/>
        <v>1126</v>
      </c>
      <c r="H63" s="331">
        <f t="shared" si="34"/>
        <v>1205</v>
      </c>
      <c r="I63" s="331">
        <f>IF(OR(I56=0,I56=""), I54+I55, I56)</f>
        <v>1261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81" r:id="rId3" name="Button 1">
              <controlPr defaultSize="0" print="0" autoFill="0" autoPict="0" macro="[0]!BacktoHub">
                <anchor moveWithCells="1" sizeWithCells="1">
                  <from>
                    <xdr:col>2</xdr:col>
                    <xdr:colOff>495300</xdr:colOff>
                    <xdr:row>1</xdr:row>
                    <xdr:rowOff>28575</xdr:rowOff>
                  </from>
                  <to>
                    <xdr:col>2</xdr:col>
                    <xdr:colOff>1685925</xdr:colOff>
                    <xdr:row>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5A35F0-0F55-42EA-99FC-6CCB0F17F4B1}">
  <sheetPr codeName="Sheet6"/>
  <dimension ref="B2:S24"/>
  <sheetViews>
    <sheetView workbookViewId="0">
      <selection activeCell="I29" sqref="I29"/>
    </sheetView>
  </sheetViews>
  <sheetFormatPr defaultRowHeight="15" x14ac:dyDescent="0.25"/>
  <cols>
    <col min="3" max="3" width="32.5703125" customWidth="1"/>
    <col min="4" max="4" width="10.85546875" customWidth="1"/>
    <col min="5" max="13" width="11.140625" bestFit="1" customWidth="1"/>
    <col min="14" max="14" width="11.7109375" bestFit="1" customWidth="1"/>
    <col min="15" max="19" width="11.85546875" bestFit="1" customWidth="1"/>
  </cols>
  <sheetData>
    <row r="2" spans="2:19" x14ac:dyDescent="0.25">
      <c r="D2" s="5"/>
      <c r="E2" s="5"/>
      <c r="F2" s="1"/>
      <c r="G2" s="2" t="s">
        <v>80</v>
      </c>
      <c r="H2" s="1"/>
      <c r="I2" s="1"/>
      <c r="J2" s="4"/>
      <c r="K2" s="3"/>
      <c r="L2" s="3"/>
      <c r="M2" s="3"/>
      <c r="N2" s="3" t="s">
        <v>81</v>
      </c>
      <c r="O2" s="3"/>
      <c r="P2" s="3"/>
      <c r="Q2" s="3"/>
      <c r="R2" s="3"/>
      <c r="S2" s="3"/>
    </row>
    <row r="3" spans="2:19" x14ac:dyDescent="0.25">
      <c r="D3" s="7">
        <f ca="1">YEAR(D4)</f>
        <v>2018</v>
      </c>
      <c r="E3" s="7">
        <f ca="1">YEAR(E4)</f>
        <v>2019</v>
      </c>
      <c r="F3" s="7">
        <f t="shared" ref="F3:I3" ca="1" si="0">YEAR(F4)</f>
        <v>2020</v>
      </c>
      <c r="G3" s="7">
        <f t="shared" ca="1" si="0"/>
        <v>2021</v>
      </c>
      <c r="H3" s="7">
        <f t="shared" ca="1" si="0"/>
        <v>2022</v>
      </c>
      <c r="I3" s="7">
        <f t="shared" ca="1" si="0"/>
        <v>2023</v>
      </c>
      <c r="J3" s="8">
        <f ca="1">YEAR(J4)</f>
        <v>2024</v>
      </c>
      <c r="K3" s="8">
        <f t="shared" ref="K3:S3" ca="1" si="1">YEAR(K4)</f>
        <v>2025</v>
      </c>
      <c r="L3" s="8">
        <f t="shared" ca="1" si="1"/>
        <v>2026</v>
      </c>
      <c r="M3" s="8">
        <f t="shared" ca="1" si="1"/>
        <v>2027</v>
      </c>
      <c r="N3" s="8">
        <f t="shared" ca="1" si="1"/>
        <v>2028</v>
      </c>
      <c r="O3" s="8">
        <f t="shared" ca="1" si="1"/>
        <v>2029</v>
      </c>
      <c r="P3" s="8">
        <f t="shared" ca="1" si="1"/>
        <v>2030</v>
      </c>
      <c r="Q3" s="8">
        <f t="shared" ca="1" si="1"/>
        <v>2031</v>
      </c>
      <c r="R3" s="8">
        <f t="shared" ca="1" si="1"/>
        <v>2032</v>
      </c>
      <c r="S3" s="8">
        <f t="shared" ca="1" si="1"/>
        <v>2033</v>
      </c>
    </row>
    <row r="4" spans="2:19" x14ac:dyDescent="0.25">
      <c r="D4" s="9">
        <f t="shared" ref="D4:G4" ca="1" si="2">EOMONTH(E4,-12)</f>
        <v>43465</v>
      </c>
      <c r="E4" s="9">
        <f t="shared" ca="1" si="2"/>
        <v>43830</v>
      </c>
      <c r="F4" s="9">
        <f t="shared" ca="1" si="2"/>
        <v>44196</v>
      </c>
      <c r="G4" s="9">
        <f t="shared" ca="1" si="2"/>
        <v>44561</v>
      </c>
      <c r="H4" s="9">
        <f ca="1">EOMONTH(I4,-12)</f>
        <v>44926</v>
      </c>
      <c r="I4" s="9">
        <f ca="1">DCF!D10</f>
        <v>45291</v>
      </c>
      <c r="J4" s="9">
        <f ca="1">EOMONTH(I4,12)</f>
        <v>45657</v>
      </c>
      <c r="K4" s="9">
        <f t="shared" ref="K4:N4" ca="1" si="3">EOMONTH(J4,12)</f>
        <v>46022</v>
      </c>
      <c r="L4" s="9">
        <f t="shared" ca="1" si="3"/>
        <v>46387</v>
      </c>
      <c r="M4" s="9">
        <f t="shared" ca="1" si="3"/>
        <v>46752</v>
      </c>
      <c r="N4" s="9">
        <f t="shared" ca="1" si="3"/>
        <v>47118</v>
      </c>
      <c r="O4" s="9">
        <f t="shared" ref="O4" ca="1" si="4">EOMONTH(N4,12)</f>
        <v>47483</v>
      </c>
      <c r="P4" s="9">
        <f t="shared" ref="P4" ca="1" si="5">EOMONTH(O4,12)</f>
        <v>47848</v>
      </c>
      <c r="Q4" s="9">
        <f t="shared" ref="Q4" ca="1" si="6">EOMONTH(P4,12)</f>
        <v>48213</v>
      </c>
      <c r="R4" s="9">
        <f t="shared" ref="R4" ca="1" si="7">EOMONTH(Q4,12)</f>
        <v>48579</v>
      </c>
      <c r="S4" s="9">
        <f t="shared" ref="S4" ca="1" si="8">EOMONTH(R4,12)</f>
        <v>48944</v>
      </c>
    </row>
    <row r="5" spans="2:19" x14ac:dyDescent="0.25">
      <c r="D5" s="267" t="s">
        <v>359</v>
      </c>
      <c r="E5" s="267" t="s">
        <v>357</v>
      </c>
      <c r="F5" s="267" t="s">
        <v>356</v>
      </c>
      <c r="G5" s="267" t="s">
        <v>355</v>
      </c>
      <c r="H5" s="267" t="s">
        <v>353</v>
      </c>
      <c r="I5" s="267" t="s">
        <v>354</v>
      </c>
      <c r="J5" s="9"/>
      <c r="K5" s="9"/>
      <c r="L5" s="9"/>
      <c r="M5" s="9"/>
      <c r="N5" s="9"/>
      <c r="O5" s="9"/>
      <c r="P5" s="9"/>
      <c r="Q5" s="9"/>
      <c r="R5" s="9"/>
      <c r="S5" s="9"/>
    </row>
    <row r="6" spans="2:19" x14ac:dyDescent="0.25">
      <c r="C6" s="10" t="s">
        <v>154</v>
      </c>
    </row>
    <row r="8" spans="2:19" x14ac:dyDescent="0.25">
      <c r="B8" t="s">
        <v>358</v>
      </c>
      <c r="C8" t="s">
        <v>155</v>
      </c>
      <c r="D8" s="268" cm="1">
        <f t="array" ref="D8">_xll.BDP(Hub!$D$4,$B8,"EQY_FUND_RELATIVE_PERIOD",D$5, "EQY_FUND_CRNCY", Hub!$D$8)</f>
        <v>247.709</v>
      </c>
      <c r="E8" s="268" cm="1">
        <f t="array" ref="E8">_xll.BDP(Hub!$D$4,$B8,"EQY_FUND_RELATIVE_PERIOD",E$5, "EQY_FUND_CRNCY", Hub!$D$8)</f>
        <v>240.95100000000002</v>
      </c>
      <c r="F8" s="268" cm="1">
        <f t="array" ref="F8">_xll.BDP(Hub!$D$4,$B8,"EQY_FUND_RELATIVE_PERIOD",F$5, "EQY_FUND_CRNCY", Hub!$D$8)</f>
        <v>1758</v>
      </c>
      <c r="G8" s="268" cm="1">
        <f t="array" ref="G8">_xll.BDP(Hub!$D$4,$B8,"EQY_FUND_RELATIVE_PERIOD",G$5, "EQY_FUND_CRNCY", Hub!$D$8)</f>
        <v>1070</v>
      </c>
      <c r="H8" s="268" cm="1">
        <f t="array" ref="H8">_xll.BDP(Hub!$D$4,$B8,"EQY_FUND_RELATIVE_PERIOD",H$5, "EQY_FUND_CRNCY", Hub!$D$8)</f>
        <v>1038</v>
      </c>
      <c r="I8" s="268" cm="1">
        <f t="array" ref="I8">_xll.BDP(Hub!$D$4,$B8,"EQY_FUND_RELATIVE_PERIOD",I$5, "EQY_FUND_CRNCY", Hub!$D$8)</f>
        <v>1005</v>
      </c>
      <c r="J8" s="241">
        <f>I8</f>
        <v>1005</v>
      </c>
      <c r="K8" s="241">
        <f>J8</f>
        <v>1005</v>
      </c>
      <c r="L8" s="241">
        <f>K8</f>
        <v>1005</v>
      </c>
      <c r="M8" s="241">
        <f>L8</f>
        <v>1005</v>
      </c>
      <c r="N8" s="241">
        <f>M8</f>
        <v>1005</v>
      </c>
      <c r="O8" s="241">
        <f t="shared" ref="O8:S8" si="9">N8</f>
        <v>1005</v>
      </c>
      <c r="P8" s="241">
        <f t="shared" si="9"/>
        <v>1005</v>
      </c>
      <c r="Q8" s="241">
        <f t="shared" si="9"/>
        <v>1005</v>
      </c>
      <c r="R8" s="241">
        <f t="shared" si="9"/>
        <v>1005</v>
      </c>
      <c r="S8" s="241">
        <f t="shared" si="9"/>
        <v>1005</v>
      </c>
    </row>
    <row r="9" spans="2:19" x14ac:dyDescent="0.25">
      <c r="B9" t="s">
        <v>360</v>
      </c>
      <c r="C9" t="s">
        <v>156</v>
      </c>
      <c r="D9" s="268" cm="1">
        <f t="array" ref="D9">_xll.BDP(Hub!$D$4,$B9,"EQY_FUND_RELATIVE_PERIOD",D$5, "EQY_FUND_CRNCY", Hub!$D$8)</f>
        <v>60.168999999999997</v>
      </c>
      <c r="E9" s="268" cm="1">
        <f t="array" ref="E9">_xll.BDP(Hub!$D$4,$B9,"EQY_FUND_RELATIVE_PERIOD",E$5, "EQY_FUND_CRNCY", Hub!$D$8)</f>
        <v>53.899000000000001</v>
      </c>
      <c r="F9" s="268" cm="1">
        <f t="array" ref="F9">_xll.BDP(Hub!$D$4,$B9,"EQY_FUND_RELATIVE_PERIOD",F$5, "EQY_FUND_CRNCY", Hub!$D$8)</f>
        <v>338</v>
      </c>
      <c r="G9" s="268" cm="1">
        <f t="array" ref="G9">_xll.BDP(Hub!$D$4,$B9,"EQY_FUND_RELATIVE_PERIOD",G$5, "EQY_FUND_CRNCY", Hub!$D$8)</f>
        <v>472</v>
      </c>
      <c r="H9" s="268" cm="1">
        <f t="array" ref="H9">_xll.BDP(Hub!$D$4,$B9,"EQY_FUND_RELATIVE_PERIOD",H$5, "EQY_FUND_CRNCY", Hub!$D$8)</f>
        <v>611</v>
      </c>
      <c r="I9" s="268" cm="1">
        <f t="array" ref="I9">_xll.BDP(Hub!$D$4,$B9,"EQY_FUND_RELATIVE_PERIOD",I$5, "EQY_FUND_CRNCY", Hub!$D$8)</f>
        <v>608</v>
      </c>
      <c r="J9" s="241">
        <f ca="1">(J10/365)*Revenue_Build!I36</f>
        <v>868.33953207517186</v>
      </c>
      <c r="K9" s="241">
        <f ca="1">(K10/365)*Revenue_Build!J36</f>
        <v>1206.4448901309511</v>
      </c>
      <c r="L9" s="241">
        <f ca="1">(L10/365)*Revenue_Build!K36</f>
        <v>1688.8138931002716</v>
      </c>
      <c r="M9" s="241">
        <f ca="1">(M10/365)*Revenue_Build!L36</f>
        <v>2382.5919201121337</v>
      </c>
      <c r="N9" s="241">
        <f ca="1">(N10/365)*Revenue_Build!M36</f>
        <v>3388.5673613124695</v>
      </c>
      <c r="O9" s="241">
        <f ca="1">(O10/365)*Revenue_Build!N36</f>
        <v>4859.0266674987761</v>
      </c>
      <c r="P9" s="241">
        <f ca="1">(P10/365)*Revenue_Build!O36</f>
        <v>7025.4995271303842</v>
      </c>
      <c r="Q9" s="241">
        <f ca="1">(Q10/365)*Revenue_Build!P36</f>
        <v>10242.045860561862</v>
      </c>
      <c r="R9" s="241">
        <f ca="1">(R10/365)*Revenue_Build!Q36</f>
        <v>15053.040016510146</v>
      </c>
      <c r="S9" s="241">
        <f ca="1">(S10/365)*Revenue_Build!R36</f>
        <v>22299.674732555439</v>
      </c>
    </row>
    <row r="10" spans="2:19" x14ac:dyDescent="0.25">
      <c r="C10" s="11" t="s">
        <v>157</v>
      </c>
      <c r="D10" s="118"/>
      <c r="E10" s="306">
        <f>IFERROR((E9/Revenue_Build!D36)*365,0)</f>
        <v>7.7820945411392408</v>
      </c>
      <c r="F10" s="306">
        <f>IFERROR((F9/Revenue_Build!E36)*365,0)</f>
        <v>34.004961411245866</v>
      </c>
      <c r="G10" s="306">
        <f>IFERROR((G9/Revenue_Build!F36)*365,0)</f>
        <v>18.00208986415883</v>
      </c>
      <c r="H10" s="306">
        <f>IFERROR((H9/Revenue_Build!G36)*365,0)</f>
        <v>20.609463081046115</v>
      </c>
      <c r="I10" s="306">
        <f>IFERROR((I9/Revenue_Build!H36)*365,0)</f>
        <v>19.250520471894518</v>
      </c>
      <c r="J10" s="306">
        <f ca="1">IF(SUM($E10:$I10)=0, 0, IF(RSQ($E10:$I10,$E$3:$I$3)&gt;0.5,((SLOPE($E10:$I10,$E$3:$I$3)+I10)*RSQ($E10:$I10,$E$3:$I$3)+(AVERAGE($E10:$I10)*(1-RSQ($E10:$I10,$E$3:$I$3)))),AVERAGE($E10:$I10)))</f>
        <v>19.929825873896913</v>
      </c>
      <c r="K10" s="306">
        <f t="shared" ref="K10:S10" ca="1" si="10">IF(SUM($E10:$I10)=0, 0, IF(RSQ($E10:$I10,$E$3:$I$3)&gt;0.5,((SLOPE($E10:$I10,$E$3:$I$3)+J10)*RSQ($E10:$I10,$E$3:$I$3)+(AVERAGE($E10:$I10)*(1-RSQ($E10:$I10,$E$3:$I$3)))),AVERAGE($E10:$I10)))</f>
        <v>19.929825873896913</v>
      </c>
      <c r="L10" s="306">
        <f t="shared" ca="1" si="10"/>
        <v>19.929825873896913</v>
      </c>
      <c r="M10" s="306">
        <f t="shared" ca="1" si="10"/>
        <v>19.929825873896913</v>
      </c>
      <c r="N10" s="306">
        <f t="shared" ca="1" si="10"/>
        <v>19.929825873896913</v>
      </c>
      <c r="O10" s="306">
        <f t="shared" ca="1" si="10"/>
        <v>19.929825873896913</v>
      </c>
      <c r="P10" s="306">
        <f t="shared" ca="1" si="10"/>
        <v>19.929825873896913</v>
      </c>
      <c r="Q10" s="306">
        <f t="shared" ca="1" si="10"/>
        <v>19.929825873896913</v>
      </c>
      <c r="R10" s="306">
        <f t="shared" ca="1" si="10"/>
        <v>19.929825873896913</v>
      </c>
      <c r="S10" s="306">
        <f t="shared" ca="1" si="10"/>
        <v>19.929825873896913</v>
      </c>
    </row>
    <row r="11" spans="2:19" ht="15" customHeight="1" x14ac:dyDescent="0.25">
      <c r="B11" t="s">
        <v>361</v>
      </c>
      <c r="C11" t="s">
        <v>158</v>
      </c>
      <c r="D11" s="268" cm="1">
        <f t="array" ref="D11">_xll.BDP(Hub!$D$4,$B11,"EQY_FUND_RELATIVE_PERIOD",D$5, "EQY_FUND_CRNCY", Hub!$D$8)</f>
        <v>20.594999999999999</v>
      </c>
      <c r="E11" s="268" cm="1">
        <f t="array" ref="E11">_xll.BDP(Hub!$D$4,$B11,"EQY_FUND_RELATIVE_PERIOD",E$5, "EQY_FUND_CRNCY", Hub!$D$8)</f>
        <v>18.378999999999998</v>
      </c>
      <c r="F11" s="268" cm="1">
        <f t="array" ref="F11">_xll.BDP(Hub!$D$4,$B11,"EQY_FUND_RELATIVE_PERIOD",F$5, "EQY_FUND_CRNCY", Hub!$D$8)</f>
        <v>44</v>
      </c>
      <c r="G11" s="268" cm="1">
        <f t="array" ref="G11">_xll.BDP(Hub!$D$4,$B11,"EQY_FUND_RELATIVE_PERIOD",G$5, "EQY_FUND_CRNCY", Hub!$D$8)</f>
        <v>42</v>
      </c>
      <c r="H11" s="268" cm="1">
        <f t="array" ref="H11">_xll.BDP(Hub!$D$4,$B11,"EQY_FUND_RELATIVE_PERIOD",H$5, "EQY_FUND_CRNCY", Hub!$D$8)</f>
        <v>59</v>
      </c>
      <c r="I11" s="268" cm="1">
        <f t="array" ref="I11">_xll.BDP(Hub!$D$4,$B11,"EQY_FUND_RELATIVE_PERIOD",I$5, "EQY_FUND_CRNCY", Hub!$D$8)</f>
        <v>46</v>
      </c>
      <c r="J11" s="241">
        <f ca="1">(J12/365)*Operating_Model!J69</f>
        <v>36.133712734755939</v>
      </c>
      <c r="K11" s="241">
        <f ca="1">(K12/365)*Operating_Model!K69</f>
        <v>26.01758675602948</v>
      </c>
      <c r="L11" s="241">
        <f ca="1">(L12/365)*Operating_Model!L69</f>
        <v>9.1812590725950383</v>
      </c>
      <c r="M11" s="241">
        <f ca="1">(M12/365)*Operating_Model!M69</f>
        <v>-17.965339815187718</v>
      </c>
      <c r="N11" s="241">
        <f ca="1">(N12/365)*Operating_Model!N69</f>
        <v>-60.929344215489934</v>
      </c>
      <c r="O11" s="241">
        <f ca="1">(O12/365)*Operating_Model!O69</f>
        <v>-128.18582708744322</v>
      </c>
      <c r="P11" s="241">
        <f ca="1">(P12/365)*Operating_Model!P69</f>
        <v>-232.8206656588988</v>
      </c>
      <c r="Q11" s="241">
        <f ca="1">(Q12/365)*Operating_Model!Q69</f>
        <v>-395.10669223048524</v>
      </c>
      <c r="R11" s="241">
        <f ca="1">(R12/365)*Operating_Model!R69</f>
        <v>-646.55484752204848</v>
      </c>
      <c r="S11" s="241">
        <f ca="1">(S12/365)*Operating_Model!S69</f>
        <v>-1036.3018797391194</v>
      </c>
    </row>
    <row r="12" spans="2:19" x14ac:dyDescent="0.25">
      <c r="C12" s="11" t="s">
        <v>159</v>
      </c>
      <c r="D12" s="118"/>
      <c r="E12" s="306">
        <f>IFERROR((E11/Operating_Model!E69)*365,0)</f>
        <v>146.03019286864901</v>
      </c>
      <c r="F12" s="306">
        <f>IFERROR((F11/Operating_Model!F69)*365,0)</f>
        <v>114.71428571428571</v>
      </c>
      <c r="G12" s="306">
        <f>IFERROR((G11/Operating_Model!G69)*365,0)</f>
        <v>41.099195710455767</v>
      </c>
      <c r="H12" s="306">
        <f>IFERROR((H11/Operating_Model!H69)*365,0)</f>
        <v>52.396593673965931</v>
      </c>
      <c r="I12" s="306">
        <f>IFERROR((I11/Operating_Model!I69)*365,0)</f>
        <v>38.686635944700463</v>
      </c>
      <c r="J12" s="306">
        <f ca="1">IF(SUM($E12:$I12)=0, 0, IF(RSQ($E12:$I12,$E$3:$I$3)&gt;0.5,((SLOPE($E12:$I12,$E$3:$I$3)+I12)*RSQ($E12:$I12,$E$3:$I$3)+(AVERAGE($E12:$I12)*(1-RSQ($E12:$I12,$E$3:$I$3)))),AVERAGE($E12:$I12)))</f>
        <v>24.197637160819525</v>
      </c>
      <c r="K12" s="306">
        <f t="shared" ref="K12:S12" ca="1" si="11">IF(SUM($E12:$I12)=0, 0, IF(RSQ($E12:$I12,$E$3:$I$3)&gt;0.5,((SLOPE($E12:$I12,$E$3:$I$3)+J12)*RSQ($E12:$I12,$E$3:$I$3)+(AVERAGE($E12:$I12)*(1-RSQ($E12:$I12,$E$3:$I$3)))),AVERAGE($E12:$I12)))</f>
        <v>12.540344548085322</v>
      </c>
      <c r="L12" s="306">
        <f t="shared" ca="1" si="11"/>
        <v>3.1613340942996349</v>
      </c>
      <c r="M12" s="306">
        <f t="shared" ca="1" si="11"/>
        <v>-4.3846579309952407</v>
      </c>
      <c r="N12" s="306">
        <f t="shared" ca="1" si="11"/>
        <v>-10.455873644677508</v>
      </c>
      <c r="O12" s="306">
        <f t="shared" ca="1" si="11"/>
        <v>-15.340540911553143</v>
      </c>
      <c r="P12" s="306">
        <f t="shared" ca="1" si="11"/>
        <v>-19.270556815009641</v>
      </c>
      <c r="Q12" s="306">
        <f t="shared" ca="1" si="11"/>
        <v>-22.432496852595875</v>
      </c>
      <c r="R12" s="306">
        <f t="shared" ca="1" si="11"/>
        <v>-24.976472512464731</v>
      </c>
      <c r="S12" s="306">
        <f t="shared" ca="1" si="11"/>
        <v>-27.023257739595607</v>
      </c>
    </row>
    <row r="13" spans="2:19" x14ac:dyDescent="0.25">
      <c r="B13" t="s">
        <v>362</v>
      </c>
      <c r="C13" t="s">
        <v>160</v>
      </c>
      <c r="D13" s="268" cm="1">
        <f t="array" ref="D13">_xll.BDP(Hub!$D$4,$B13,"EQY_FUND_RELATIVE_PERIOD",D$5, "EQY_FUND_CRNCY", Hub!$D$8)</f>
        <v>244.72299999999998</v>
      </c>
      <c r="E13" s="268" cm="1">
        <f t="array" ref="E13">_xll.BDP(Hub!$D$4,$B13,"EQY_FUND_RELATIVE_PERIOD",E$5, "EQY_FUND_CRNCY", Hub!$D$8)</f>
        <v>291.41399999999999</v>
      </c>
      <c r="F13" s="268" cm="1">
        <f t="array" ref="F13">_xll.BDP(Hub!$D$4,$B13,"EQY_FUND_RELATIVE_PERIOD",F$5, "EQY_FUND_CRNCY", Hub!$D$8)</f>
        <v>4527</v>
      </c>
      <c r="G13" s="268" cm="1">
        <f t="array" ref="G13">_xll.BDP(Hub!$D$4,$B13,"EQY_FUND_RELATIVE_PERIOD",G$5, "EQY_FUND_CRNCY", Hub!$D$8)</f>
        <v>4380</v>
      </c>
      <c r="H13" s="268" cm="1">
        <f t="array" ref="H13">_xll.BDP(Hub!$D$4,$B13,"EQY_FUND_RELATIVE_PERIOD",H$5, "EQY_FUND_CRNCY", Hub!$D$8)</f>
        <v>394</v>
      </c>
      <c r="I13" s="268" cm="1">
        <f t="array" ref="I13">_xll.BDP(Hub!$D$4,$B13,"EQY_FUND_RELATIVE_PERIOD",I$5, "EQY_FUND_CRNCY", Hub!$D$8)</f>
        <v>386</v>
      </c>
      <c r="J13" s="241">
        <f ca="1">J14*Revenue_Build!I36</f>
        <v>6013.380819290117</v>
      </c>
      <c r="K13" s="241">
        <f ca="1">K14*Revenue_Build!J36</f>
        <v>8354.8108704740953</v>
      </c>
      <c r="L13" s="241">
        <f ca="1">L14*Revenue_Build!K36</f>
        <v>11695.288187386921</v>
      </c>
      <c r="M13" s="241">
        <f ca="1">M14*Revenue_Build!L36</f>
        <v>16499.80453885128</v>
      </c>
      <c r="N13" s="241">
        <f ca="1">N14*Revenue_Build!M36</f>
        <v>23466.334564651515</v>
      </c>
      <c r="O13" s="241">
        <f ca="1">O14*Revenue_Build!N36</f>
        <v>33649.484658297035</v>
      </c>
      <c r="P13" s="241">
        <f ca="1">P14*Revenue_Build!O36</f>
        <v>48652.632457507803</v>
      </c>
      <c r="Q13" s="241">
        <f ca="1">Q14*Revenue_Build!P36</f>
        <v>70927.695737870279</v>
      </c>
      <c r="R13" s="241">
        <f ca="1">R14*Revenue_Build!Q36</f>
        <v>104244.54808704072</v>
      </c>
      <c r="S13" s="241">
        <f ca="1">S14*Revenue_Build!R36</f>
        <v>154428.57472202322</v>
      </c>
    </row>
    <row r="14" spans="2:19" x14ac:dyDescent="0.25">
      <c r="C14" s="11" t="s">
        <v>161</v>
      </c>
      <c r="D14" s="118"/>
      <c r="E14" s="116">
        <f>E13/Revenue_Build!D36</f>
        <v>0.1152745253164557</v>
      </c>
      <c r="F14" s="116">
        <f>F13/Revenue_Build!E36</f>
        <v>1.2477949283351708</v>
      </c>
      <c r="G14" s="116">
        <f>G13/Revenue_Build!F36</f>
        <v>0.45768025078369906</v>
      </c>
      <c r="H14" s="116">
        <f>H13/Revenue_Build!G36</f>
        <v>3.6410682931337215E-2</v>
      </c>
      <c r="I14" s="116">
        <f>I13/Revenue_Build!H36</f>
        <v>3.3483691880638447E-2</v>
      </c>
      <c r="J14" s="307">
        <f ca="1">IF(SUM($E14:$I14)=0, 0, IF(RSQ($E14:$I14,$E$3:$I$3)&gt;0.5,((SLOPE($E14:$I14,$E$3:$I$3)+I14)*RSQ($E14:$I14,$E$3:$I$3)+(AVERAGE($E14:$I14)*(1-RSQ($E14:$I14,$E$3:$I$3)))),AVERAGE($E14:$I14)))</f>
        <v>0.37812881584946029</v>
      </c>
      <c r="K14" s="307">
        <f t="shared" ref="K14:S14" ca="1" si="12">IF(SUM($E14:$I14)=0, 0, IF(RSQ($E14:$I14,$E$3:$I$3)&gt;0.5,((SLOPE($E14:$I14,$E$3:$I$3)+J14)*RSQ($E14:$I14,$E$3:$I$3)+(AVERAGE($E14:$I14)*(1-RSQ($E14:$I14,$E$3:$I$3)))),AVERAGE($E14:$I14)))</f>
        <v>0.37812881584946029</v>
      </c>
      <c r="L14" s="307">
        <f t="shared" ca="1" si="12"/>
        <v>0.37812881584946029</v>
      </c>
      <c r="M14" s="307">
        <f t="shared" ca="1" si="12"/>
        <v>0.37812881584946029</v>
      </c>
      <c r="N14" s="307">
        <f t="shared" ca="1" si="12"/>
        <v>0.37812881584946029</v>
      </c>
      <c r="O14" s="307">
        <f t="shared" ca="1" si="12"/>
        <v>0.37812881584946029</v>
      </c>
      <c r="P14" s="307">
        <f t="shared" ca="1" si="12"/>
        <v>0.37812881584946029</v>
      </c>
      <c r="Q14" s="307">
        <f t="shared" ca="1" si="12"/>
        <v>0.37812881584946029</v>
      </c>
      <c r="R14" s="307">
        <f t="shared" ca="1" si="12"/>
        <v>0.37812881584946029</v>
      </c>
      <c r="S14" s="307">
        <f t="shared" ca="1" si="12"/>
        <v>0.37812881584946029</v>
      </c>
    </row>
    <row r="15" spans="2:19" x14ac:dyDescent="0.25">
      <c r="J15" s="71"/>
      <c r="K15" s="71"/>
      <c r="L15" s="71"/>
      <c r="M15" s="71"/>
      <c r="N15" s="71"/>
      <c r="O15" s="71"/>
      <c r="P15" s="71"/>
      <c r="Q15" s="71"/>
      <c r="R15" s="71"/>
      <c r="S15" s="71"/>
    </row>
    <row r="16" spans="2:19" ht="15" customHeight="1" x14ac:dyDescent="0.25">
      <c r="B16" t="s">
        <v>363</v>
      </c>
      <c r="C16" t="s">
        <v>162</v>
      </c>
      <c r="D16" s="268" cm="1">
        <f t="array" ref="D16">_xll.BDP(Hub!$D$4,$B16,"EQY_FUND_RELATIVE_PERIOD",D$5, "EQY_FUND_CRNCY", Hub!$D$8)</f>
        <v>391.024</v>
      </c>
      <c r="E16" s="268" cm="1">
        <f t="array" ref="E16">_xll.BDP(Hub!$D$4,$B16,"EQY_FUND_RELATIVE_PERIOD",E$5, "EQY_FUND_CRNCY", Hub!$D$8)</f>
        <v>384.79499999999996</v>
      </c>
      <c r="F16" s="268" cm="1">
        <f t="array" ref="F16">_xll.BDP(Hub!$D$4,$B16,"EQY_FUND_RELATIVE_PERIOD",F$5, "EQY_FUND_CRNCY", Hub!$D$8)</f>
        <v>1633</v>
      </c>
      <c r="G16" s="268" cm="1">
        <f t="array" ref="G16">_xll.BDP(Hub!$D$4,$B16,"EQY_FUND_RELATIVE_PERIOD",G$5, "EQY_FUND_CRNCY", Hub!$D$8)</f>
        <v>2547</v>
      </c>
      <c r="H16" s="268" cm="1">
        <f t="array" ref="H16">_xll.BDP(Hub!$D$4,$B16,"EQY_FUND_RELATIVE_PERIOD",H$5, "EQY_FUND_CRNCY", Hub!$D$8)</f>
        <v>2510</v>
      </c>
      <c r="I16" s="268" cm="1">
        <f t="array" ref="I16">_xll.BDP(Hub!$D$4,$B16,"EQY_FUND_RELATIVE_PERIOD",I$5, "EQY_FUND_CRNCY", Hub!$D$8)</f>
        <v>2602</v>
      </c>
      <c r="J16" s="241">
        <f ca="1">(J17/365)*Operating_Model!J69</f>
        <v>4248.2510086341163</v>
      </c>
      <c r="K16" s="241">
        <f ca="1">(K17/365)*Operating_Model!K69</f>
        <v>5902.3924767214166</v>
      </c>
      <c r="L16" s="241">
        <f ca="1">(L17/365)*Operating_Model!L69</f>
        <v>8262.3271885512222</v>
      </c>
      <c r="M16" s="241">
        <f ca="1">(M17/365)*Operating_Model!M69</f>
        <v>11656.556167137194</v>
      </c>
      <c r="N16" s="241">
        <f ca="1">(N17/365)*Operating_Model!N69</f>
        <v>16578.174986595146</v>
      </c>
      <c r="O16" s="241">
        <f ca="1">(O17/365)*Operating_Model!O69</f>
        <v>23772.227543125082</v>
      </c>
      <c r="P16" s="241">
        <f ca="1">(P17/365)*Operating_Model!P69</f>
        <v>34371.44613347674</v>
      </c>
      <c r="Q16" s="241">
        <f ca="1">(Q17/365)*Operating_Model!Q69</f>
        <v>50108.028081626137</v>
      </c>
      <c r="R16" s="241">
        <f ca="1">(R17/365)*Operating_Model!R69</f>
        <v>73645.262101936518</v>
      </c>
      <c r="S16" s="241">
        <f ca="1">(S17/365)*Operating_Model!S69</f>
        <v>109098.58664201669</v>
      </c>
    </row>
    <row r="17" spans="2:19" x14ac:dyDescent="0.25">
      <c r="C17" t="s">
        <v>163</v>
      </c>
      <c r="D17" s="110"/>
      <c r="E17" s="306">
        <f>IFERROR((E16/Operating_Model!E69)*365,0)</f>
        <v>3057.3854978449208</v>
      </c>
      <c r="F17" s="306">
        <f>IFERROR((F16/Operating_Model!F69)*365,0)</f>
        <v>4257.4642857142862</v>
      </c>
      <c r="G17" s="306">
        <f>IFERROR((G16/Operating_Model!G69)*365,0)</f>
        <v>2492.3726541554961</v>
      </c>
      <c r="H17" s="306">
        <f>IFERROR((H16/Operating_Model!H69)*365,0)</f>
        <v>2229.0754257907543</v>
      </c>
      <c r="I17" s="306">
        <f>IFERROR((I16/Operating_Model!I69)*365,0)</f>
        <v>2188.3179723502303</v>
      </c>
      <c r="J17" s="306">
        <f ca="1">IF(SUM($E17:$I17)=0, 0, IF(RSQ($E17:$I17,$E$3:$I$3)&gt;0.5,((SLOPE($E17:$I17,$E$3:$I$3)+I17)*RSQ($E17:$I17,$E$3:$I$3)+(AVERAGE($E17:$I17)*(1-RSQ($E17:$I17,$E$3:$I$3)))),AVERAGE($E17:$I17)))</f>
        <v>2844.9231671711377</v>
      </c>
      <c r="K17" s="306">
        <f t="shared" ref="K17:S17" ca="1" si="13">IF(SUM($E17:$I17)=0, 0, IF(RSQ($E17:$I17,$E$3:$I$3)&gt;0.5,((SLOPE($E17:$I17,$E$3:$I$3)+J17)*RSQ($E17:$I17,$E$3:$I$3)+(AVERAGE($E17:$I17)*(1-RSQ($E17:$I17,$E$3:$I$3)))),AVERAGE($E17:$I17)))</f>
        <v>2844.9231671711377</v>
      </c>
      <c r="L17" s="306">
        <f t="shared" ca="1" si="13"/>
        <v>2844.9231671711377</v>
      </c>
      <c r="M17" s="306">
        <f t="shared" ca="1" si="13"/>
        <v>2844.9231671711377</v>
      </c>
      <c r="N17" s="306">
        <f t="shared" ca="1" si="13"/>
        <v>2844.9231671711377</v>
      </c>
      <c r="O17" s="306">
        <f t="shared" ca="1" si="13"/>
        <v>2844.9231671711377</v>
      </c>
      <c r="P17" s="306">
        <f t="shared" ca="1" si="13"/>
        <v>2844.9231671711377</v>
      </c>
      <c r="Q17" s="306">
        <f t="shared" ca="1" si="13"/>
        <v>2844.9231671711377</v>
      </c>
      <c r="R17" s="306">
        <f t="shared" ca="1" si="13"/>
        <v>2844.9231671711377</v>
      </c>
      <c r="S17" s="306">
        <f t="shared" ca="1" si="13"/>
        <v>2844.9231671711377</v>
      </c>
    </row>
    <row r="18" spans="2:19" x14ac:dyDescent="0.25">
      <c r="B18" t="s">
        <v>364</v>
      </c>
      <c r="C18" t="s">
        <v>164</v>
      </c>
      <c r="D18" s="268" cm="1">
        <f t="array" ref="D18">_xll.BDP(Hub!$D$4,$B18,"EQY_FUND_RELATIVE_PERIOD",D$5, "EQY_FUND_CRNCY", Hub!$D$8)</f>
        <v>10.691000000000001</v>
      </c>
      <c r="E18" s="268" cm="1">
        <f t="array" ref="E18">_xll.BDP(Hub!$D$4,$B18,"EQY_FUND_RELATIVE_PERIOD",E$5, "EQY_FUND_CRNCY", Hub!$D$8)</f>
        <v>37.484999999999999</v>
      </c>
      <c r="F18" s="268" cm="1">
        <f t="array" ref="F18">_xll.BDP(Hub!$D$4,$B18,"EQY_FUND_RELATIVE_PERIOD",F$5, "EQY_FUND_CRNCY", Hub!$D$8)</f>
        <v>833</v>
      </c>
      <c r="G18" s="268" cm="1">
        <f t="array" ref="G18">_xll.BDP(Hub!$D$4,$B18,"EQY_FUND_RELATIVE_PERIOD",G$5, "EQY_FUND_CRNCY", Hub!$D$8)</f>
        <v>2631</v>
      </c>
      <c r="H18" s="268" cm="1">
        <f t="array" ref="H18">_xll.BDP(Hub!$D$4,$B18,"EQY_FUND_RELATIVE_PERIOD",H$5, "EQY_FUND_CRNCY", Hub!$D$8)</f>
        <v>0</v>
      </c>
      <c r="I18" s="268" cm="1">
        <f t="array" ref="I18">_xll.BDP(Hub!$D$4,$B18,"EQY_FUND_RELATIVE_PERIOD",I$5, "EQY_FUND_CRNCY", Hub!$D$8)</f>
        <v>0</v>
      </c>
      <c r="J18" s="241">
        <f ca="1">J19*Revenue_Build!I36</f>
        <v>1651.852543067452</v>
      </c>
      <c r="K18" s="241">
        <f ca="1">K19*Revenue_Build!J36</f>
        <v>2295.0343572069714</v>
      </c>
      <c r="L18" s="241">
        <f ca="1">L19*Revenue_Build!K36</f>
        <v>3212.6506061730547</v>
      </c>
      <c r="M18" s="241">
        <f ca="1">M19*Revenue_Build!L36</f>
        <v>4532.4327373690048</v>
      </c>
      <c r="N18" s="241">
        <f ca="1">N19*Revenue_Build!M36</f>
        <v>6446.111695228914</v>
      </c>
      <c r="O18" s="241">
        <f ca="1">O19*Revenue_Build!N36</f>
        <v>9243.3837929258043</v>
      </c>
      <c r="P18" s="241">
        <f ca="1">P19*Revenue_Build!O36</f>
        <v>13364.690690144531</v>
      </c>
      <c r="Q18" s="241">
        <f ca="1">Q19*Revenue_Build!P36</f>
        <v>19483.564753237522</v>
      </c>
      <c r="R18" s="241">
        <f ca="1">R19*Revenue_Build!Q36</f>
        <v>28635.575732391986</v>
      </c>
      <c r="S18" s="241">
        <f ca="1">S19*Revenue_Build!R36</f>
        <v>42420.934503025535</v>
      </c>
    </row>
    <row r="19" spans="2:19" x14ac:dyDescent="0.25">
      <c r="C19" t="s">
        <v>161</v>
      </c>
      <c r="D19" s="110"/>
      <c r="E19" s="116">
        <f>E18/Revenue_Build!D36</f>
        <v>1.4827927215189874E-2</v>
      </c>
      <c r="F19" s="116">
        <f>F18/Revenue_Build!E36</f>
        <v>0.22960308710033075</v>
      </c>
      <c r="G19" s="116">
        <f>G18/Revenue_Build!F36</f>
        <v>0.27492163009404391</v>
      </c>
      <c r="H19" s="116">
        <f>H18/Revenue_Build!G36</f>
        <v>0</v>
      </c>
      <c r="I19" s="116">
        <f>I18/Revenue_Build!H36</f>
        <v>0</v>
      </c>
      <c r="J19" s="307">
        <f ca="1">IF(SUM($E19:$I19)=0, 0, IF(RSQ($E19:$I19,$E$3:$I$3)&gt;0.5,((SLOPE($E19:$I19,$E$3:$I$3)+I19)*RSQ($E19:$I19,$E$3:$I$3)+(AVERAGE($E19:$I19)*(1-RSQ($E19:$I19,$E$3:$I$3)))),AVERAGE($E19:$I19)))</f>
        <v>0.10387052888191291</v>
      </c>
      <c r="K19" s="307">
        <f t="shared" ref="K19:S19" ca="1" si="14">IF(SUM($E19:$I19)=0, 0, IF(RSQ($E19:$I19,$E$3:$I$3)&gt;0.5,((SLOPE($E19:$I19,$E$3:$I$3)+J19)*RSQ($E19:$I19,$E$3:$I$3)+(AVERAGE($E19:$I19)*(1-RSQ($E19:$I19,$E$3:$I$3)))),AVERAGE($E19:$I19)))</f>
        <v>0.10387052888191291</v>
      </c>
      <c r="L19" s="307">
        <f t="shared" ca="1" si="14"/>
        <v>0.10387052888191291</v>
      </c>
      <c r="M19" s="307">
        <f t="shared" ca="1" si="14"/>
        <v>0.10387052888191291</v>
      </c>
      <c r="N19" s="307">
        <f t="shared" ca="1" si="14"/>
        <v>0.10387052888191291</v>
      </c>
      <c r="O19" s="307">
        <f t="shared" ca="1" si="14"/>
        <v>0.10387052888191291</v>
      </c>
      <c r="P19" s="307">
        <f t="shared" ca="1" si="14"/>
        <v>0.10387052888191291</v>
      </c>
      <c r="Q19" s="307">
        <f t="shared" ca="1" si="14"/>
        <v>0.10387052888191291</v>
      </c>
      <c r="R19" s="307">
        <f t="shared" ca="1" si="14"/>
        <v>0.10387052888191291</v>
      </c>
      <c r="S19" s="307">
        <f t="shared" ca="1" si="14"/>
        <v>0.10387052888191291</v>
      </c>
    </row>
    <row r="20" spans="2:19" x14ac:dyDescent="0.25">
      <c r="J20" s="71"/>
      <c r="K20" s="71"/>
      <c r="L20" s="71"/>
      <c r="M20" s="71"/>
      <c r="N20" s="71"/>
      <c r="O20" s="71"/>
      <c r="P20" s="71"/>
      <c r="Q20" s="71"/>
      <c r="R20" s="71"/>
      <c r="S20" s="71"/>
    </row>
    <row r="21" spans="2:19" x14ac:dyDescent="0.25">
      <c r="C21" t="s">
        <v>165</v>
      </c>
      <c r="D21" s="145"/>
      <c r="E21" s="145"/>
      <c r="F21" s="145"/>
      <c r="G21" s="145"/>
      <c r="H21" s="145"/>
      <c r="I21" s="234">
        <f ca="1">Debt_Schedule!AE10</f>
        <v>1423.02947003145</v>
      </c>
      <c r="J21" s="241">
        <f ca="1">Debt_Schedule!AF10</f>
        <v>1518.6104008364498</v>
      </c>
      <c r="K21" s="241">
        <f ca="1">Debt_Schedule!AG10</f>
        <v>1620.6112368689555</v>
      </c>
      <c r="L21" s="241">
        <f ca="1">Debt_Schedule!AH10</f>
        <v>3340.3611853036937</v>
      </c>
      <c r="M21" s="241">
        <f ca="1">Debt_Schedule!AI10</f>
        <v>1845.6264163017515</v>
      </c>
      <c r="N21" s="241">
        <f ca="1">Debt_Schedule!AJ10</f>
        <v>3169.5920083737965</v>
      </c>
      <c r="O21" s="241">
        <f ca="1">Debt_Schedule!AK10</f>
        <v>4101.8840244079383</v>
      </c>
      <c r="P21" s="241">
        <f ca="1">Debt_Schedule!AL10</f>
        <v>2243.0617271385991</v>
      </c>
      <c r="Q21" s="241">
        <f ca="1">Debt_Schedule!AM10</f>
        <v>3893.7219434222707</v>
      </c>
      <c r="R21" s="241">
        <f ca="1">Debt_Schedule!AN10</f>
        <v>2554.5015873150969</v>
      </c>
      <c r="S21" s="241">
        <f>Debt_Schedule!AO10</f>
        <v>0</v>
      </c>
    </row>
    <row r="23" spans="2:19" x14ac:dyDescent="0.25">
      <c r="C23" s="101" t="s">
        <v>166</v>
      </c>
      <c r="D23" s="248">
        <f t="shared" ref="D23:N23" si="15">D9+D11+D13-D16-D18</f>
        <v>-76.228000000000037</v>
      </c>
      <c r="E23" s="248">
        <f t="shared" si="15"/>
        <v>-58.587999999999951</v>
      </c>
      <c r="F23" s="248">
        <f t="shared" si="15"/>
        <v>2443</v>
      </c>
      <c r="G23" s="248">
        <f t="shared" si="15"/>
        <v>-284</v>
      </c>
      <c r="H23" s="248">
        <f t="shared" si="15"/>
        <v>-1446</v>
      </c>
      <c r="I23" s="248">
        <f t="shared" si="15"/>
        <v>-1562</v>
      </c>
      <c r="J23" s="248">
        <f ca="1">J9+J11+J13-J16-J18</f>
        <v>1017.7505123984763</v>
      </c>
      <c r="K23" s="248">
        <f t="shared" ca="1" si="15"/>
        <v>1389.8465134326871</v>
      </c>
      <c r="L23" s="248">
        <f t="shared" ca="1" si="15"/>
        <v>1918.3055448355112</v>
      </c>
      <c r="M23" s="248">
        <f t="shared" ca="1" si="15"/>
        <v>2675.4422146420275</v>
      </c>
      <c r="N23" s="248">
        <f t="shared" ca="1" si="15"/>
        <v>3769.6858999244341</v>
      </c>
      <c r="O23" s="248">
        <f t="shared" ref="O23:S23" ca="1" si="16">O9+O11+O13-O16-O18</f>
        <v>5364.7141626574776</v>
      </c>
      <c r="P23" s="248">
        <f t="shared" ca="1" si="16"/>
        <v>7709.1744953580146</v>
      </c>
      <c r="Q23" s="248">
        <f t="shared" ca="1" si="16"/>
        <v>11183.042071337994</v>
      </c>
      <c r="R23" s="248">
        <f t="shared" ca="1" si="16"/>
        <v>16370.195421700304</v>
      </c>
      <c r="S23" s="248">
        <f t="shared" ca="1" si="16"/>
        <v>24172.426429797299</v>
      </c>
    </row>
    <row r="24" spans="2:19" x14ac:dyDescent="0.25">
      <c r="C24" s="109" t="s">
        <v>167</v>
      </c>
      <c r="D24" s="264" t="s">
        <v>85</v>
      </c>
      <c r="E24" s="256">
        <f t="shared" ref="E24:N24" si="17">E23-D23</f>
        <v>17.640000000000086</v>
      </c>
      <c r="F24" s="256">
        <f t="shared" si="17"/>
        <v>2501.5879999999997</v>
      </c>
      <c r="G24" s="256">
        <f t="shared" si="17"/>
        <v>-2727</v>
      </c>
      <c r="H24" s="256">
        <f t="shared" si="17"/>
        <v>-1162</v>
      </c>
      <c r="I24" s="256">
        <f t="shared" si="17"/>
        <v>-116</v>
      </c>
      <c r="J24" s="256">
        <f t="shared" ca="1" si="17"/>
        <v>2579.7505123984765</v>
      </c>
      <c r="K24" s="256">
        <f ca="1">K23-J23</f>
        <v>372.09600103421076</v>
      </c>
      <c r="L24" s="256">
        <f t="shared" ca="1" si="17"/>
        <v>528.45903140282417</v>
      </c>
      <c r="M24" s="256">
        <f t="shared" ca="1" si="17"/>
        <v>757.13666980651624</v>
      </c>
      <c r="N24" s="256">
        <f t="shared" ca="1" si="17"/>
        <v>1094.2436852824067</v>
      </c>
      <c r="O24" s="256">
        <f t="shared" ref="O24" ca="1" si="18">O23-N23</f>
        <v>1595.0282627330434</v>
      </c>
      <c r="P24" s="256">
        <f t="shared" ref="P24" ca="1" si="19">P23-O23</f>
        <v>2344.460332700537</v>
      </c>
      <c r="Q24" s="256">
        <f t="shared" ref="Q24" ca="1" si="20">Q23-P23</f>
        <v>3473.8675759799789</v>
      </c>
      <c r="R24" s="256">
        <f t="shared" ref="R24" ca="1" si="21">R23-Q23</f>
        <v>5187.1533503623104</v>
      </c>
      <c r="S24" s="256">
        <f t="shared" ref="S24" ca="1" si="22">S23-R23</f>
        <v>7802.2310080969946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5" r:id="rId3" name="Button 1">
              <controlPr defaultSize="0" print="0" autoFill="0" autoPict="0" macro="[0]!BacktoHub">
                <anchor moveWithCells="1" sizeWithCells="1">
                  <from>
                    <xdr:col>2</xdr:col>
                    <xdr:colOff>390525</xdr:colOff>
                    <xdr:row>0</xdr:row>
                    <xdr:rowOff>123825</xdr:rowOff>
                  </from>
                  <to>
                    <xdr:col>2</xdr:col>
                    <xdr:colOff>1581150</xdr:colOff>
                    <xdr:row>3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49BBE5-7B1C-47F2-9E69-4570941FF1A1}">
  <sheetPr codeName="Sheet7">
    <tabColor rgb="FF0070C0"/>
  </sheetPr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52DAF5-D970-4AFE-BB9D-716135B21EEC}">
  <sheetPr codeName="Sheet8"/>
  <dimension ref="D2:R63"/>
  <sheetViews>
    <sheetView zoomScale="80" zoomScaleNormal="80" workbookViewId="0">
      <selection activeCell="G15" sqref="G15"/>
    </sheetView>
  </sheetViews>
  <sheetFormatPr defaultColWidth="8.85546875" defaultRowHeight="15" x14ac:dyDescent="0.25"/>
  <cols>
    <col min="1" max="3" width="8.85546875" style="71"/>
    <col min="4" max="4" width="40.42578125" style="71" bestFit="1" customWidth="1"/>
    <col min="5" max="5" width="54.42578125" style="71" bestFit="1" customWidth="1"/>
    <col min="6" max="6" width="8.85546875" style="71"/>
    <col min="7" max="7" width="15.42578125" style="71" bestFit="1" customWidth="1"/>
    <col min="8" max="8" width="2.28515625" style="71" bestFit="1" customWidth="1"/>
    <col min="9" max="9" width="8.7109375" style="71" bestFit="1" customWidth="1"/>
    <col min="10" max="11" width="9.42578125" style="71" bestFit="1" customWidth="1"/>
    <col min="12" max="17" width="10.5703125" style="71" bestFit="1" customWidth="1"/>
    <col min="18" max="18" width="11.5703125" style="71" bestFit="1" customWidth="1"/>
    <col min="19" max="16384" width="8.85546875" style="71"/>
  </cols>
  <sheetData>
    <row r="2" spans="4:18" x14ac:dyDescent="0.25">
      <c r="D2" s="111" t="str">
        <f>DCF!C2</f>
        <v>CAESARS ENTERTAINMENT INC</v>
      </c>
      <c r="E2" s="111"/>
      <c r="F2" s="111"/>
      <c r="G2" s="112"/>
      <c r="H2" s="113" t="s">
        <v>168</v>
      </c>
      <c r="I2" s="113" t="s">
        <v>168</v>
      </c>
      <c r="J2" s="113" t="s">
        <v>168</v>
      </c>
      <c r="K2" s="113" t="s">
        <v>168</v>
      </c>
      <c r="L2" s="113" t="s">
        <v>168</v>
      </c>
      <c r="M2" s="113" t="s">
        <v>168</v>
      </c>
      <c r="N2" s="113" t="s">
        <v>168</v>
      </c>
      <c r="O2" s="113" t="s">
        <v>168</v>
      </c>
      <c r="P2" s="113" t="s">
        <v>168</v>
      </c>
      <c r="Q2" s="113" t="s">
        <v>168</v>
      </c>
      <c r="R2" s="113" t="s">
        <v>168</v>
      </c>
    </row>
    <row r="3" spans="4:18" x14ac:dyDescent="0.25">
      <c r="D3" s="111" t="s">
        <v>169</v>
      </c>
      <c r="E3" s="111"/>
      <c r="F3" s="113"/>
      <c r="G3" s="114" t="s">
        <v>168</v>
      </c>
      <c r="H3" s="113" t="s">
        <v>168</v>
      </c>
      <c r="I3" s="113" t="s">
        <v>168</v>
      </c>
      <c r="J3" s="113" t="s">
        <v>168</v>
      </c>
      <c r="K3" s="113" t="s">
        <v>168</v>
      </c>
      <c r="L3" s="113" t="s">
        <v>168</v>
      </c>
      <c r="M3" s="113" t="s">
        <v>168</v>
      </c>
      <c r="N3" s="113" t="s">
        <v>168</v>
      </c>
      <c r="O3" s="113" t="s">
        <v>168</v>
      </c>
      <c r="P3" s="113" t="s">
        <v>168</v>
      </c>
      <c r="Q3" s="113" t="s">
        <v>168</v>
      </c>
      <c r="R3" s="113" t="s">
        <v>168</v>
      </c>
    </row>
    <row r="4" spans="4:18" x14ac:dyDescent="0.25">
      <c r="D4" s="111"/>
      <c r="E4" s="111"/>
      <c r="F4" s="113"/>
      <c r="G4" s="114" t="s">
        <v>168</v>
      </c>
      <c r="H4" s="113" t="s">
        <v>168</v>
      </c>
      <c r="I4" s="113" t="s">
        <v>168</v>
      </c>
      <c r="J4" s="113" t="s">
        <v>168</v>
      </c>
      <c r="K4" s="113" t="s">
        <v>168</v>
      </c>
      <c r="L4" s="113" t="s">
        <v>168</v>
      </c>
      <c r="M4" s="113" t="s">
        <v>168</v>
      </c>
      <c r="N4" s="113" t="s">
        <v>168</v>
      </c>
      <c r="O4" s="113" t="s">
        <v>168</v>
      </c>
      <c r="P4" s="113" t="s">
        <v>168</v>
      </c>
      <c r="Q4" s="113" t="s">
        <v>168</v>
      </c>
      <c r="R4" s="113" t="s">
        <v>168</v>
      </c>
    </row>
    <row r="5" spans="4:18" x14ac:dyDescent="0.25">
      <c r="D5" s="46"/>
      <c r="E5" s="46"/>
      <c r="F5" s="46"/>
      <c r="G5" s="47"/>
      <c r="H5" s="46"/>
      <c r="I5" s="46"/>
      <c r="J5" s="46"/>
      <c r="K5" s="46"/>
      <c r="L5" s="46"/>
      <c r="M5" s="46"/>
      <c r="N5" s="46"/>
      <c r="O5" s="46"/>
      <c r="P5" s="46"/>
      <c r="Q5" s="46"/>
      <c r="R5" s="46"/>
    </row>
    <row r="6" spans="4:18" x14ac:dyDescent="0.25">
      <c r="D6" s="48" t="s">
        <v>170</v>
      </c>
      <c r="E6" s="48"/>
      <c r="F6" s="49"/>
      <c r="G6" s="50" t="s">
        <v>168</v>
      </c>
      <c r="H6" s="49" t="s">
        <v>168</v>
      </c>
      <c r="I6" s="49" t="s">
        <v>168</v>
      </c>
      <c r="J6" s="49" t="s">
        <v>168</v>
      </c>
      <c r="K6" s="49" t="s">
        <v>168</v>
      </c>
      <c r="L6" s="49" t="s">
        <v>168</v>
      </c>
      <c r="M6" s="49" t="s">
        <v>168</v>
      </c>
      <c r="N6" s="49" t="s">
        <v>168</v>
      </c>
      <c r="O6" s="49" t="s">
        <v>168</v>
      </c>
      <c r="P6" s="49" t="s">
        <v>168</v>
      </c>
      <c r="Q6" s="49" t="s">
        <v>168</v>
      </c>
      <c r="R6" s="49" t="s">
        <v>168</v>
      </c>
    </row>
    <row r="7" spans="4:18" x14ac:dyDescent="0.25">
      <c r="D7" s="46"/>
      <c r="E7" s="46"/>
      <c r="F7" s="46"/>
      <c r="G7" s="47"/>
      <c r="H7" s="46"/>
      <c r="I7" s="46"/>
      <c r="J7" s="46"/>
      <c r="K7" s="46"/>
      <c r="L7" s="46"/>
      <c r="M7" s="46"/>
      <c r="N7" s="46"/>
      <c r="O7" s="46"/>
      <c r="P7" s="46"/>
      <c r="Q7" s="46"/>
      <c r="R7" s="46"/>
    </row>
    <row r="8" spans="4:18" x14ac:dyDescent="0.25">
      <c r="D8" s="10" t="s">
        <v>15</v>
      </c>
      <c r="E8" s="10"/>
      <c r="F8" s="51"/>
      <c r="G8" s="52"/>
      <c r="H8" s="46"/>
      <c r="I8" s="46"/>
      <c r="J8"/>
      <c r="K8"/>
      <c r="L8"/>
      <c r="M8"/>
      <c r="N8"/>
      <c r="O8"/>
      <c r="P8"/>
      <c r="Q8"/>
      <c r="R8"/>
    </row>
    <row r="9" spans="4:18" x14ac:dyDescent="0.25">
      <c r="D9" s="46"/>
      <c r="E9" s="46"/>
      <c r="F9" s="46"/>
      <c r="G9" s="47"/>
      <c r="H9" s="46"/>
      <c r="I9" s="46"/>
      <c r="J9" s="46"/>
      <c r="K9" s="46"/>
      <c r="L9" s="46"/>
      <c r="M9" s="46"/>
      <c r="N9" s="46"/>
      <c r="O9" s="46"/>
      <c r="P9" s="46"/>
      <c r="Q9" s="46"/>
      <c r="R9" s="46"/>
    </row>
    <row r="10" spans="4:18" x14ac:dyDescent="0.25">
      <c r="D10" s="53"/>
      <c r="E10" s="46"/>
      <c r="F10" s="51"/>
      <c r="G10" s="54" t="s">
        <v>171</v>
      </c>
      <c r="H10" s="46"/>
      <c r="I10" s="55" t="s">
        <v>171</v>
      </c>
      <c r="J10" s="55" t="s">
        <v>172</v>
      </c>
      <c r="K10" s="55" t="s">
        <v>173</v>
      </c>
      <c r="L10" s="55" t="s">
        <v>174</v>
      </c>
      <c r="M10" s="55" t="s">
        <v>175</v>
      </c>
      <c r="N10" s="55" t="s">
        <v>176</v>
      </c>
      <c r="O10" s="55" t="s">
        <v>177</v>
      </c>
      <c r="P10" s="55" t="s">
        <v>178</v>
      </c>
      <c r="Q10" s="55" t="s">
        <v>179</v>
      </c>
      <c r="R10" s="55" t="s">
        <v>180</v>
      </c>
    </row>
    <row r="11" spans="4:18" x14ac:dyDescent="0.25">
      <c r="D11" s="56"/>
      <c r="E11" s="56"/>
      <c r="F11" s="51"/>
      <c r="G11" s="57" t="str">
        <f ca="1">OFFSET(H11,0,MATCH(G10,I10:XFD10))</f>
        <v>Base</v>
      </c>
      <c r="H11" s="58"/>
      <c r="I11" s="59" t="s">
        <v>181</v>
      </c>
      <c r="J11" s="60" t="s">
        <v>182</v>
      </c>
      <c r="K11" s="59" t="s">
        <v>183</v>
      </c>
      <c r="L11" s="61" t="s">
        <v>184</v>
      </c>
      <c r="M11" s="61" t="s">
        <v>185</v>
      </c>
      <c r="N11" s="61" t="s">
        <v>186</v>
      </c>
      <c r="O11" s="59" t="s">
        <v>187</v>
      </c>
      <c r="P11" s="59" t="s">
        <v>188</v>
      </c>
      <c r="Q11" s="59" t="s">
        <v>189</v>
      </c>
      <c r="R11" s="59" t="s">
        <v>190</v>
      </c>
    </row>
    <row r="12" spans="4:18" x14ac:dyDescent="0.25">
      <c r="D12" s="46"/>
      <c r="E12" s="46"/>
      <c r="F12" s="46"/>
      <c r="G12" s="47"/>
      <c r="H12" s="46"/>
      <c r="I12" s="46"/>
      <c r="J12" s="46"/>
      <c r="K12" s="46"/>
      <c r="L12" s="46"/>
      <c r="M12" s="46"/>
      <c r="N12" s="46"/>
      <c r="O12" s="46"/>
      <c r="P12" s="46"/>
      <c r="Q12" s="46"/>
      <c r="R12" s="46"/>
    </row>
    <row r="13" spans="4:18" x14ac:dyDescent="0.25">
      <c r="D13" s="62" t="s">
        <v>191</v>
      </c>
      <c r="E13" s="63"/>
      <c r="F13" s="64"/>
      <c r="G13" s="65" t="s">
        <v>168</v>
      </c>
      <c r="H13" s="64" t="s">
        <v>168</v>
      </c>
      <c r="I13" s="64" t="s">
        <v>168</v>
      </c>
      <c r="J13" s="64" t="s">
        <v>168</v>
      </c>
      <c r="K13" s="64" t="s">
        <v>168</v>
      </c>
      <c r="L13" s="64" t="s">
        <v>168</v>
      </c>
      <c r="M13" s="64" t="s">
        <v>168</v>
      </c>
      <c r="N13" s="64" t="s">
        <v>168</v>
      </c>
      <c r="O13" s="64" t="s">
        <v>168</v>
      </c>
      <c r="P13" s="64" t="s">
        <v>168</v>
      </c>
      <c r="Q13" s="64" t="s">
        <v>168</v>
      </c>
      <c r="R13" s="64" t="s">
        <v>168</v>
      </c>
    </row>
    <row r="14" spans="4:18" x14ac:dyDescent="0.25">
      <c r="D14"/>
      <c r="E14"/>
      <c r="F14"/>
      <c r="G14" s="66"/>
      <c r="H14"/>
      <c r="I14"/>
      <c r="J14"/>
      <c r="K14"/>
      <c r="L14"/>
      <c r="M14"/>
      <c r="N14"/>
      <c r="O14"/>
      <c r="P14"/>
      <c r="Q14"/>
      <c r="R14"/>
    </row>
    <row r="15" spans="4:18" x14ac:dyDescent="0.25">
      <c r="D15"/>
      <c r="E15" t="s">
        <v>192</v>
      </c>
      <c r="F15"/>
      <c r="G15" s="67" t="str">
        <f>IF(Hub!N4="No", Hub!R6, Hub!D6)</f>
        <v>CAESARS ENTERTAINMENT INC</v>
      </c>
      <c r="H15"/>
      <c r="I15"/>
      <c r="J15"/>
      <c r="K15"/>
      <c r="L15"/>
      <c r="M15"/>
      <c r="N15"/>
      <c r="O15"/>
      <c r="P15"/>
      <c r="Q15"/>
      <c r="R15"/>
    </row>
    <row r="16" spans="4:18" x14ac:dyDescent="0.25">
      <c r="D16"/>
      <c r="E16" t="s">
        <v>9</v>
      </c>
      <c r="F16"/>
      <c r="G16" s="67" t="str">
        <f>IF(Hub!N4="No", Hub!R7, Hub!D7)</f>
        <v>CZR</v>
      </c>
      <c r="H16"/>
      <c r="I16"/>
      <c r="J16"/>
      <c r="K16"/>
      <c r="L16"/>
      <c r="M16"/>
      <c r="N16"/>
      <c r="O16"/>
      <c r="P16"/>
      <c r="Q16"/>
      <c r="R16"/>
    </row>
    <row r="17" spans="4:18" x14ac:dyDescent="0.25">
      <c r="D17"/>
      <c r="E17" t="s">
        <v>193</v>
      </c>
      <c r="F17"/>
      <c r="G17" s="305" t="str" cm="1">
        <f t="array" ref="G17">_xll.BDP(Hub!D4, "DS497")</f>
        <v>UNITED STATES</v>
      </c>
      <c r="H17"/>
      <c r="I17"/>
      <c r="J17"/>
      <c r="K17"/>
      <c r="L17"/>
      <c r="M17"/>
      <c r="N17"/>
      <c r="O17"/>
      <c r="P17"/>
      <c r="Q17"/>
      <c r="R17"/>
    </row>
    <row r="18" spans="4:18" x14ac:dyDescent="0.25">
      <c r="D18"/>
      <c r="E18" t="s">
        <v>76</v>
      </c>
      <c r="F18"/>
      <c r="G18" s="68">
        <f ca="1">DCF!D9</f>
        <v>45493</v>
      </c>
      <c r="H18"/>
      <c r="I18"/>
      <c r="J18"/>
      <c r="K18"/>
      <c r="L18"/>
      <c r="M18"/>
      <c r="N18"/>
      <c r="O18"/>
      <c r="P18"/>
      <c r="Q18"/>
      <c r="R18"/>
    </row>
    <row r="19" spans="4:18" x14ac:dyDescent="0.25">
      <c r="D19"/>
      <c r="E19"/>
      <c r="F19"/>
      <c r="G19" s="66"/>
      <c r="H19"/>
      <c r="I19"/>
      <c r="J19"/>
      <c r="K19"/>
      <c r="L19"/>
      <c r="M19"/>
      <c r="N19"/>
      <c r="O19"/>
      <c r="P19"/>
      <c r="Q19"/>
      <c r="R19"/>
    </row>
    <row r="20" spans="4:18" x14ac:dyDescent="0.25">
      <c r="D20" s="62" t="s">
        <v>194</v>
      </c>
      <c r="E20" s="63"/>
      <c r="F20" s="64"/>
      <c r="G20" s="65" t="s">
        <v>168</v>
      </c>
      <c r="H20" s="64" t="s">
        <v>168</v>
      </c>
      <c r="I20" s="64" t="s">
        <v>168</v>
      </c>
      <c r="J20" s="64" t="s">
        <v>168</v>
      </c>
      <c r="K20" s="64" t="s">
        <v>168</v>
      </c>
      <c r="L20" s="64" t="s">
        <v>168</v>
      </c>
      <c r="M20" s="64" t="s">
        <v>168</v>
      </c>
      <c r="N20" s="64" t="s">
        <v>168</v>
      </c>
      <c r="O20" s="64" t="s">
        <v>168</v>
      </c>
      <c r="P20" s="64" t="s">
        <v>168</v>
      </c>
      <c r="Q20" s="64" t="s">
        <v>168</v>
      </c>
      <c r="R20" s="64" t="s">
        <v>168</v>
      </c>
    </row>
    <row r="21" spans="4:18" x14ac:dyDescent="0.25">
      <c r="D21"/>
      <c r="E21"/>
      <c r="F21"/>
      <c r="G21" s="66"/>
      <c r="H21"/>
      <c r="I21"/>
      <c r="J21"/>
      <c r="K21"/>
      <c r="L21"/>
      <c r="M21"/>
      <c r="N21"/>
      <c r="O21"/>
      <c r="P21"/>
      <c r="Q21"/>
      <c r="R21"/>
    </row>
    <row r="22" spans="4:18" x14ac:dyDescent="0.25">
      <c r="D22"/>
      <c r="E22" t="s">
        <v>195</v>
      </c>
      <c r="F22"/>
      <c r="G22" s="100" cm="1">
        <f t="array" ref="G22">INDEX(I22:XFD22,0,MATCH($G$10,$I$10:$XFD$10))</f>
        <v>1</v>
      </c>
      <c r="H22"/>
      <c r="I22" s="136">
        <v>1</v>
      </c>
      <c r="J22" s="136">
        <v>1.25</v>
      </c>
      <c r="K22" s="136">
        <v>0.6</v>
      </c>
      <c r="L22" s="136"/>
      <c r="M22" s="136"/>
      <c r="N22" s="136"/>
      <c r="O22" s="136"/>
      <c r="P22" s="136"/>
      <c r="Q22" s="136"/>
      <c r="R22" s="136"/>
    </row>
    <row r="23" spans="4:18" x14ac:dyDescent="0.25">
      <c r="D23"/>
      <c r="E23" t="s">
        <v>196</v>
      </c>
      <c r="F23"/>
      <c r="G23" s="100" cm="1">
        <f t="array" ref="G23">INDEX(I23:XFD23,0,MATCH($G$10,$I$10:$XFD$10))</f>
        <v>1</v>
      </c>
      <c r="H23"/>
      <c r="I23" s="136">
        <v>1</v>
      </c>
      <c r="J23" s="136">
        <v>0.6</v>
      </c>
      <c r="K23" s="136">
        <v>1.25</v>
      </c>
      <c r="L23" s="136"/>
      <c r="M23" s="136"/>
      <c r="N23" s="136"/>
      <c r="O23" s="136"/>
      <c r="P23" s="136"/>
      <c r="Q23" s="136"/>
      <c r="R23" s="136"/>
    </row>
    <row r="24" spans="4:18" x14ac:dyDescent="0.25">
      <c r="D24"/>
      <c r="E24"/>
      <c r="F24"/>
      <c r="G24" s="66"/>
      <c r="H24"/>
      <c r="I24"/>
      <c r="J24"/>
      <c r="K24"/>
      <c r="L24"/>
      <c r="M24"/>
      <c r="N24"/>
      <c r="O24"/>
      <c r="P24"/>
      <c r="Q24"/>
      <c r="R24"/>
    </row>
    <row r="25" spans="4:18" x14ac:dyDescent="0.25">
      <c r="D25" s="62"/>
      <c r="E25" s="63"/>
      <c r="F25" s="64"/>
      <c r="G25" s="65" t="s">
        <v>168</v>
      </c>
      <c r="H25" s="64" t="s">
        <v>168</v>
      </c>
      <c r="I25" s="64" t="s">
        <v>168</v>
      </c>
      <c r="J25" s="64" t="s">
        <v>168</v>
      </c>
      <c r="K25" s="64" t="s">
        <v>168</v>
      </c>
      <c r="L25" s="64" t="s">
        <v>168</v>
      </c>
      <c r="M25" s="64" t="s">
        <v>168</v>
      </c>
      <c r="N25" s="64" t="s">
        <v>168</v>
      </c>
      <c r="O25" s="64" t="s">
        <v>168</v>
      </c>
      <c r="P25" s="64" t="s">
        <v>168</v>
      </c>
      <c r="Q25" s="64" t="s">
        <v>168</v>
      </c>
      <c r="R25" s="64" t="s">
        <v>168</v>
      </c>
    </row>
    <row r="26" spans="4:18" x14ac:dyDescent="0.25">
      <c r="D26"/>
      <c r="E26"/>
      <c r="F26"/>
      <c r="G26" s="66"/>
      <c r="H26"/>
      <c r="I26"/>
      <c r="J26"/>
      <c r="K26"/>
      <c r="L26"/>
      <c r="M26"/>
      <c r="N26"/>
      <c r="O26"/>
      <c r="P26"/>
      <c r="Q26"/>
      <c r="R26"/>
    </row>
    <row r="27" spans="4:18" x14ac:dyDescent="0.25">
      <c r="D27"/>
      <c r="E27" t="s">
        <v>197</v>
      </c>
      <c r="F27" s="10"/>
      <c r="G27" s="69" t="str" cm="1">
        <f t="array" ref="G27">INDEX(I27:XFD27,0,MATCH($G$10,$I$10:$XFD$10))</f>
        <v>Base</v>
      </c>
      <c r="H27"/>
      <c r="I27" s="70" t="s">
        <v>181</v>
      </c>
      <c r="J27" s="70" t="s">
        <v>182</v>
      </c>
      <c r="K27" s="70" t="s">
        <v>183</v>
      </c>
      <c r="L27" s="70" t="s">
        <v>181</v>
      </c>
      <c r="M27" s="70" t="s">
        <v>181</v>
      </c>
      <c r="N27" s="70" t="s">
        <v>181</v>
      </c>
      <c r="O27" s="70" t="s">
        <v>181</v>
      </c>
      <c r="P27" s="70" t="s">
        <v>181</v>
      </c>
      <c r="Q27" s="70" t="s">
        <v>181</v>
      </c>
      <c r="R27" s="70" t="s">
        <v>181</v>
      </c>
    </row>
    <row r="28" spans="4:18" x14ac:dyDescent="0.25">
      <c r="D28"/>
      <c r="E28"/>
      <c r="F28"/>
      <c r="G28" s="66"/>
      <c r="H28"/>
      <c r="I28" s="66"/>
      <c r="J28" s="66"/>
      <c r="K28" s="66"/>
      <c r="L28" s="66"/>
      <c r="M28" s="66"/>
      <c r="N28" s="66"/>
      <c r="O28" s="66"/>
      <c r="P28" s="66"/>
      <c r="Q28" s="66"/>
      <c r="R28" s="66"/>
    </row>
    <row r="29" spans="4:18" x14ac:dyDescent="0.25">
      <c r="D29" s="62"/>
      <c r="E29" s="63"/>
      <c r="F29" s="64"/>
      <c r="G29" s="65" t="s">
        <v>168</v>
      </c>
      <c r="H29" s="64" t="s">
        <v>168</v>
      </c>
      <c r="I29" s="64" t="s">
        <v>168</v>
      </c>
      <c r="J29" s="64" t="s">
        <v>168</v>
      </c>
      <c r="K29" s="64" t="s">
        <v>168</v>
      </c>
      <c r="L29" s="64" t="s">
        <v>168</v>
      </c>
      <c r="M29" s="64" t="s">
        <v>168</v>
      </c>
      <c r="N29" s="64" t="s">
        <v>168</v>
      </c>
      <c r="O29" s="64" t="s">
        <v>168</v>
      </c>
      <c r="P29" s="64" t="s">
        <v>168</v>
      </c>
      <c r="Q29" s="64" t="s">
        <v>168</v>
      </c>
      <c r="R29" s="64" t="s">
        <v>168</v>
      </c>
    </row>
    <row r="30" spans="4:18" x14ac:dyDescent="0.25">
      <c r="D30"/>
      <c r="E30"/>
      <c r="F30"/>
      <c r="G30" s="66"/>
      <c r="H30"/>
      <c r="I30"/>
      <c r="J30"/>
      <c r="K30"/>
      <c r="L30"/>
      <c r="M30"/>
      <c r="N30"/>
      <c r="O30"/>
      <c r="P30"/>
      <c r="Q30"/>
      <c r="R30"/>
    </row>
    <row r="31" spans="4:18" x14ac:dyDescent="0.25">
      <c r="D31"/>
      <c r="E31" t="s">
        <v>197</v>
      </c>
      <c r="F31" s="10"/>
      <c r="G31" s="69" t="str">
        <f t="array" ref="G31">INDEX(I31:XFD31,0,MATCH($G$10,$I$10:$XFD$10))</f>
        <v>Base</v>
      </c>
      <c r="H31"/>
      <c r="I31" s="70" t="s">
        <v>181</v>
      </c>
      <c r="J31" s="70" t="s">
        <v>182</v>
      </c>
      <c r="K31" s="70" t="s">
        <v>183</v>
      </c>
      <c r="L31" s="70" t="s">
        <v>181</v>
      </c>
      <c r="M31" s="70" t="s">
        <v>181</v>
      </c>
      <c r="N31" s="70" t="s">
        <v>181</v>
      </c>
      <c r="O31" s="70" t="s">
        <v>181</v>
      </c>
      <c r="P31" s="70" t="s">
        <v>181</v>
      </c>
      <c r="Q31" s="70" t="s">
        <v>181</v>
      </c>
      <c r="R31" s="70" t="s">
        <v>181</v>
      </c>
    </row>
    <row r="32" spans="4:18" x14ac:dyDescent="0.25">
      <c r="D32"/>
      <c r="E32"/>
      <c r="F32"/>
      <c r="G32" s="66"/>
      <c r="H32"/>
      <c r="I32" s="66"/>
      <c r="J32" s="66"/>
      <c r="K32" s="66"/>
      <c r="L32" s="66"/>
      <c r="M32" s="66"/>
      <c r="N32" s="66"/>
      <c r="O32" s="66"/>
      <c r="P32" s="66"/>
      <c r="Q32" s="66"/>
      <c r="R32" s="66"/>
    </row>
    <row r="33" spans="4:18" x14ac:dyDescent="0.25">
      <c r="D33" s="62"/>
      <c r="E33" s="63"/>
      <c r="F33" s="64"/>
      <c r="G33" s="65" t="s">
        <v>168</v>
      </c>
      <c r="H33" s="64" t="s">
        <v>168</v>
      </c>
      <c r="I33" s="64" t="s">
        <v>168</v>
      </c>
      <c r="J33" s="64" t="s">
        <v>168</v>
      </c>
      <c r="K33" s="64" t="s">
        <v>168</v>
      </c>
      <c r="L33" s="64" t="s">
        <v>168</v>
      </c>
      <c r="M33" s="64" t="s">
        <v>168</v>
      </c>
      <c r="N33" s="64" t="s">
        <v>168</v>
      </c>
      <c r="O33" s="64" t="s">
        <v>168</v>
      </c>
      <c r="P33" s="64" t="s">
        <v>168</v>
      </c>
      <c r="Q33" s="64" t="s">
        <v>168</v>
      </c>
      <c r="R33" s="64" t="s">
        <v>168</v>
      </c>
    </row>
    <row r="34" spans="4:18" x14ac:dyDescent="0.25">
      <c r="D34"/>
      <c r="E34"/>
      <c r="F34"/>
      <c r="G34" s="66"/>
      <c r="H34"/>
      <c r="I34"/>
      <c r="J34"/>
      <c r="K34"/>
      <c r="L34"/>
      <c r="M34"/>
      <c r="N34"/>
      <c r="O34"/>
      <c r="P34"/>
      <c r="Q34"/>
      <c r="R34"/>
    </row>
    <row r="35" spans="4:18" x14ac:dyDescent="0.25">
      <c r="D35"/>
      <c r="E35" s="71" t="s">
        <v>197</v>
      </c>
      <c r="F35" s="10"/>
      <c r="G35" s="69" t="str">
        <f t="array" ref="G35">INDEX(I35:XFD35,0,MATCH($G$10,$I$10:$XFD$10))</f>
        <v>Base</v>
      </c>
      <c r="H35"/>
      <c r="I35" s="70" t="s">
        <v>181</v>
      </c>
      <c r="J35" s="70" t="s">
        <v>182</v>
      </c>
      <c r="K35" s="70" t="s">
        <v>183</v>
      </c>
      <c r="L35" s="70" t="s">
        <v>181</v>
      </c>
      <c r="M35" s="70" t="s">
        <v>181</v>
      </c>
      <c r="N35" s="70" t="s">
        <v>181</v>
      </c>
      <c r="O35" s="70" t="s">
        <v>181</v>
      </c>
      <c r="P35" s="70" t="s">
        <v>181</v>
      </c>
      <c r="Q35" s="70" t="s">
        <v>181</v>
      </c>
      <c r="R35" s="70" t="s">
        <v>181</v>
      </c>
    </row>
    <row r="36" spans="4:18" x14ac:dyDescent="0.25">
      <c r="D36"/>
      <c r="E36"/>
      <c r="F36"/>
      <c r="G36" s="66"/>
      <c r="H36"/>
      <c r="I36" s="66"/>
      <c r="J36" s="66"/>
      <c r="K36" s="66"/>
      <c r="L36" s="66"/>
      <c r="M36" s="66"/>
      <c r="N36" s="66"/>
      <c r="O36" s="66"/>
      <c r="P36" s="66"/>
      <c r="Q36" s="66"/>
      <c r="R36" s="66"/>
    </row>
    <row r="37" spans="4:18" x14ac:dyDescent="0.25">
      <c r="D37" s="62"/>
      <c r="E37" s="63"/>
      <c r="F37" s="64"/>
      <c r="G37" s="65" t="s">
        <v>168</v>
      </c>
      <c r="H37" s="64" t="s">
        <v>168</v>
      </c>
      <c r="I37" s="64" t="s">
        <v>168</v>
      </c>
      <c r="J37" s="64" t="s">
        <v>168</v>
      </c>
      <c r="K37" s="64" t="s">
        <v>168</v>
      </c>
      <c r="L37" s="64" t="s">
        <v>168</v>
      </c>
      <c r="M37" s="64" t="s">
        <v>168</v>
      </c>
      <c r="N37" s="64" t="s">
        <v>168</v>
      </c>
      <c r="O37" s="64" t="s">
        <v>168</v>
      </c>
      <c r="P37" s="64" t="s">
        <v>168</v>
      </c>
      <c r="Q37" s="64" t="s">
        <v>168</v>
      </c>
      <c r="R37" s="64" t="s">
        <v>168</v>
      </c>
    </row>
    <row r="38" spans="4:18" x14ac:dyDescent="0.25">
      <c r="D38"/>
      <c r="E38"/>
      <c r="F38"/>
      <c r="G38" s="66"/>
      <c r="H38"/>
      <c r="I38"/>
      <c r="J38"/>
      <c r="K38"/>
      <c r="L38"/>
      <c r="M38"/>
      <c r="N38"/>
      <c r="O38"/>
      <c r="P38"/>
      <c r="Q38"/>
      <c r="R38"/>
    </row>
    <row r="39" spans="4:18" x14ac:dyDescent="0.25">
      <c r="D39"/>
      <c r="E39" t="s">
        <v>197</v>
      </c>
      <c r="F39" s="10"/>
      <c r="G39" s="69" t="str" cm="1">
        <f t="array" ref="G39">INDEX(I39:XFD39,0,MATCH($G$10,$I$10:$XFD$10))</f>
        <v>Base</v>
      </c>
      <c r="H39"/>
      <c r="I39" s="70" t="s">
        <v>181</v>
      </c>
      <c r="J39" s="70" t="s">
        <v>182</v>
      </c>
      <c r="K39" s="70" t="s">
        <v>183</v>
      </c>
      <c r="L39" s="70" t="s">
        <v>181</v>
      </c>
      <c r="M39" s="70" t="s">
        <v>181</v>
      </c>
      <c r="N39" s="70" t="s">
        <v>181</v>
      </c>
      <c r="O39" s="70" t="s">
        <v>181</v>
      </c>
      <c r="P39" s="70" t="s">
        <v>181</v>
      </c>
      <c r="Q39" s="70" t="s">
        <v>181</v>
      </c>
      <c r="R39" s="70" t="s">
        <v>181</v>
      </c>
    </row>
    <row r="41" spans="4:18" x14ac:dyDescent="0.25">
      <c r="D41" s="62"/>
      <c r="E41" s="63"/>
      <c r="F41" s="64"/>
      <c r="G41" s="65" t="s">
        <v>168</v>
      </c>
      <c r="H41" s="64" t="s">
        <v>168</v>
      </c>
      <c r="I41" s="64" t="s">
        <v>168</v>
      </c>
      <c r="J41" s="64" t="s">
        <v>168</v>
      </c>
      <c r="K41" s="64" t="s">
        <v>168</v>
      </c>
      <c r="L41" s="64" t="s">
        <v>168</v>
      </c>
      <c r="M41" s="64" t="s">
        <v>168</v>
      </c>
      <c r="N41" s="64" t="s">
        <v>168</v>
      </c>
      <c r="O41" s="64" t="s">
        <v>168</v>
      </c>
      <c r="P41" s="64" t="s">
        <v>168</v>
      </c>
      <c r="Q41" s="64" t="s">
        <v>168</v>
      </c>
      <c r="R41" s="64" t="s">
        <v>168</v>
      </c>
    </row>
    <row r="42" spans="4:18" x14ac:dyDescent="0.25">
      <c r="D42"/>
      <c r="E42"/>
      <c r="F42"/>
      <c r="G42" s="66"/>
      <c r="H42"/>
      <c r="I42"/>
      <c r="J42"/>
      <c r="K42"/>
      <c r="L42"/>
      <c r="M42"/>
      <c r="N42"/>
      <c r="O42"/>
      <c r="P42"/>
      <c r="Q42"/>
      <c r="R42"/>
    </row>
    <row r="43" spans="4:18" x14ac:dyDescent="0.25">
      <c r="D43"/>
      <c r="E43" t="s">
        <v>197</v>
      </c>
      <c r="F43" s="10"/>
      <c r="G43" s="69" t="str">
        <f t="array" ref="G43">INDEX(I43:XFD43,0,MATCH($G$10,$I$10:$XFD$10))</f>
        <v>Base</v>
      </c>
      <c r="H43"/>
      <c r="I43" s="70" t="s">
        <v>181</v>
      </c>
      <c r="J43" s="70" t="s">
        <v>182</v>
      </c>
      <c r="K43" s="70" t="s">
        <v>183</v>
      </c>
      <c r="L43" s="70" t="s">
        <v>181</v>
      </c>
      <c r="M43" s="70" t="s">
        <v>181</v>
      </c>
      <c r="N43" s="70" t="s">
        <v>181</v>
      </c>
      <c r="O43" s="70" t="s">
        <v>181</v>
      </c>
      <c r="P43" s="70" t="s">
        <v>181</v>
      </c>
      <c r="Q43" s="70" t="s">
        <v>181</v>
      </c>
      <c r="R43" s="70" t="s">
        <v>181</v>
      </c>
    </row>
    <row r="45" spans="4:18" x14ac:dyDescent="0.25">
      <c r="D45" s="62"/>
      <c r="E45" s="63"/>
      <c r="F45" s="64"/>
      <c r="G45" s="65" t="s">
        <v>168</v>
      </c>
      <c r="H45" s="64" t="s">
        <v>168</v>
      </c>
      <c r="I45" s="64" t="s">
        <v>168</v>
      </c>
      <c r="J45" s="64" t="s">
        <v>168</v>
      </c>
      <c r="K45" s="64" t="s">
        <v>168</v>
      </c>
      <c r="L45" s="64" t="s">
        <v>168</v>
      </c>
      <c r="M45" s="64" t="s">
        <v>168</v>
      </c>
      <c r="N45" s="64" t="s">
        <v>168</v>
      </c>
      <c r="O45" s="64" t="s">
        <v>168</v>
      </c>
      <c r="P45" s="64" t="s">
        <v>168</v>
      </c>
      <c r="Q45" s="64" t="s">
        <v>168</v>
      </c>
      <c r="R45" s="64" t="s">
        <v>168</v>
      </c>
    </row>
    <row r="46" spans="4:18" x14ac:dyDescent="0.25">
      <c r="D46"/>
      <c r="E46"/>
      <c r="F46"/>
      <c r="G46" s="66"/>
      <c r="H46"/>
      <c r="I46"/>
      <c r="J46"/>
      <c r="K46"/>
      <c r="L46"/>
      <c r="M46"/>
      <c r="N46"/>
      <c r="O46"/>
      <c r="P46"/>
      <c r="Q46"/>
      <c r="R46"/>
    </row>
    <row r="47" spans="4:18" x14ac:dyDescent="0.25">
      <c r="D47"/>
      <c r="E47" t="s">
        <v>197</v>
      </c>
      <c r="F47" s="10"/>
      <c r="G47" s="69" t="str">
        <f t="array" ref="G47">INDEX(I47:XFD47,0,MATCH($G$10,$I$10:$XFD$10))</f>
        <v>Base</v>
      </c>
      <c r="H47"/>
      <c r="I47" s="70" t="s">
        <v>181</v>
      </c>
      <c r="J47" s="70" t="s">
        <v>182</v>
      </c>
      <c r="K47" s="70" t="s">
        <v>183</v>
      </c>
      <c r="L47" s="70" t="s">
        <v>181</v>
      </c>
      <c r="M47" s="70" t="s">
        <v>181</v>
      </c>
      <c r="N47" s="70" t="s">
        <v>181</v>
      </c>
      <c r="O47" s="70" t="s">
        <v>181</v>
      </c>
      <c r="P47" s="70" t="s">
        <v>181</v>
      </c>
      <c r="Q47" s="70" t="s">
        <v>181</v>
      </c>
      <c r="R47" s="70" t="s">
        <v>181</v>
      </c>
    </row>
    <row r="49" spans="4:18" x14ac:dyDescent="0.25">
      <c r="D49" s="62"/>
      <c r="E49" s="63"/>
      <c r="F49" s="64"/>
      <c r="G49" s="65" t="s">
        <v>168</v>
      </c>
      <c r="H49" s="64" t="s">
        <v>168</v>
      </c>
      <c r="I49" s="64" t="s">
        <v>168</v>
      </c>
      <c r="J49" s="64" t="s">
        <v>168</v>
      </c>
      <c r="K49" s="64" t="s">
        <v>168</v>
      </c>
      <c r="L49" s="64" t="s">
        <v>168</v>
      </c>
      <c r="M49" s="64" t="s">
        <v>168</v>
      </c>
      <c r="N49" s="64" t="s">
        <v>168</v>
      </c>
      <c r="O49" s="64" t="s">
        <v>168</v>
      </c>
      <c r="P49" s="64" t="s">
        <v>168</v>
      </c>
      <c r="Q49" s="64" t="s">
        <v>168</v>
      </c>
      <c r="R49" s="64" t="s">
        <v>168</v>
      </c>
    </row>
    <row r="50" spans="4:18" x14ac:dyDescent="0.25">
      <c r="D50"/>
      <c r="E50"/>
      <c r="F50"/>
      <c r="G50" s="66"/>
      <c r="H50"/>
      <c r="I50"/>
      <c r="J50"/>
      <c r="K50"/>
      <c r="L50"/>
      <c r="M50"/>
      <c r="N50"/>
      <c r="O50"/>
      <c r="P50"/>
      <c r="Q50"/>
      <c r="R50"/>
    </row>
    <row r="51" spans="4:18" x14ac:dyDescent="0.25">
      <c r="D51"/>
      <c r="E51" t="s">
        <v>197</v>
      </c>
      <c r="F51" s="10"/>
      <c r="G51" s="69" t="str" cm="1">
        <f t="array" ref="G51">INDEX(I51:XFD51,0,MATCH($G$10,$I$10:$XFD$10))</f>
        <v>Base</v>
      </c>
      <c r="H51"/>
      <c r="I51" s="70" t="s">
        <v>181</v>
      </c>
      <c r="J51" s="70" t="s">
        <v>182</v>
      </c>
      <c r="K51" s="70" t="s">
        <v>183</v>
      </c>
      <c r="L51" s="70" t="s">
        <v>181</v>
      </c>
      <c r="M51" s="70" t="s">
        <v>181</v>
      </c>
      <c r="N51" s="70" t="s">
        <v>181</v>
      </c>
      <c r="O51" s="70" t="s">
        <v>181</v>
      </c>
      <c r="P51" s="70" t="s">
        <v>181</v>
      </c>
      <c r="Q51" s="70" t="s">
        <v>181</v>
      </c>
      <c r="R51" s="70" t="s">
        <v>181</v>
      </c>
    </row>
    <row r="52" spans="4:18" x14ac:dyDescent="0.25">
      <c r="D52"/>
      <c r="E52"/>
      <c r="F52"/>
      <c r="G52" s="66"/>
      <c r="H52"/>
      <c r="I52" s="66"/>
      <c r="J52" s="66"/>
      <c r="K52" s="66"/>
      <c r="L52" s="66"/>
      <c r="M52" s="66"/>
      <c r="N52" s="66"/>
      <c r="O52" s="66"/>
      <c r="P52" s="66"/>
      <c r="Q52" s="66"/>
      <c r="R52" s="66"/>
    </row>
    <row r="53" spans="4:18" x14ac:dyDescent="0.25">
      <c r="D53" s="62"/>
      <c r="E53" s="63"/>
      <c r="F53" s="64"/>
      <c r="G53" s="65" t="s">
        <v>168</v>
      </c>
      <c r="H53" s="64" t="s">
        <v>168</v>
      </c>
      <c r="I53" s="64" t="s">
        <v>168</v>
      </c>
      <c r="J53" s="64" t="s">
        <v>168</v>
      </c>
      <c r="K53" s="64" t="s">
        <v>168</v>
      </c>
      <c r="L53" s="64" t="s">
        <v>168</v>
      </c>
      <c r="M53" s="64" t="s">
        <v>168</v>
      </c>
      <c r="N53" s="64" t="s">
        <v>168</v>
      </c>
      <c r="O53" s="64" t="s">
        <v>168</v>
      </c>
      <c r="P53" s="64" t="s">
        <v>168</v>
      </c>
      <c r="Q53" s="64" t="s">
        <v>168</v>
      </c>
      <c r="R53" s="64" t="s">
        <v>168</v>
      </c>
    </row>
    <row r="54" spans="4:18" x14ac:dyDescent="0.25">
      <c r="D54"/>
      <c r="E54"/>
      <c r="F54"/>
      <c r="G54" s="66"/>
      <c r="H54"/>
      <c r="I54"/>
      <c r="J54"/>
      <c r="K54"/>
      <c r="L54"/>
      <c r="M54"/>
      <c r="N54"/>
      <c r="O54"/>
      <c r="P54"/>
      <c r="Q54"/>
      <c r="R54"/>
    </row>
    <row r="55" spans="4:18" x14ac:dyDescent="0.25">
      <c r="D55"/>
      <c r="E55" t="s">
        <v>197</v>
      </c>
      <c r="F55" s="10"/>
      <c r="G55" s="69" t="str">
        <f t="array" ref="G55">INDEX(I55:XFD55,0,MATCH($G$10,$I$10:$XFD$10))</f>
        <v>Base</v>
      </c>
      <c r="H55"/>
      <c r="I55" s="70" t="s">
        <v>181</v>
      </c>
      <c r="J55" s="70" t="s">
        <v>182</v>
      </c>
      <c r="K55" s="70" t="s">
        <v>183</v>
      </c>
      <c r="L55" s="70" t="s">
        <v>181</v>
      </c>
      <c r="M55" s="70" t="s">
        <v>181</v>
      </c>
      <c r="N55" s="70" t="s">
        <v>181</v>
      </c>
      <c r="O55" s="70" t="s">
        <v>181</v>
      </c>
      <c r="P55" s="70" t="s">
        <v>181</v>
      </c>
      <c r="Q55" s="70" t="s">
        <v>181</v>
      </c>
      <c r="R55" s="70" t="s">
        <v>181</v>
      </c>
    </row>
    <row r="56" spans="4:18" x14ac:dyDescent="0.25">
      <c r="D56"/>
      <c r="E56"/>
      <c r="F56"/>
      <c r="G56" s="66"/>
      <c r="H56"/>
      <c r="I56" s="66"/>
      <c r="J56" s="66"/>
      <c r="K56" s="66"/>
      <c r="L56" s="66"/>
      <c r="M56" s="66"/>
      <c r="N56" s="66"/>
      <c r="O56" s="66"/>
      <c r="P56" s="66"/>
      <c r="Q56" s="66"/>
      <c r="R56" s="66"/>
    </row>
    <row r="57" spans="4:18" x14ac:dyDescent="0.25">
      <c r="D57" s="62"/>
      <c r="E57" s="63"/>
      <c r="F57" s="64"/>
      <c r="G57" s="65" t="s">
        <v>168</v>
      </c>
      <c r="H57" s="64" t="s">
        <v>168</v>
      </c>
      <c r="I57" s="64" t="s">
        <v>168</v>
      </c>
      <c r="J57" s="64" t="s">
        <v>168</v>
      </c>
      <c r="K57" s="64" t="s">
        <v>168</v>
      </c>
      <c r="L57" s="64" t="s">
        <v>168</v>
      </c>
      <c r="M57" s="64" t="s">
        <v>168</v>
      </c>
      <c r="N57" s="64" t="s">
        <v>168</v>
      </c>
      <c r="O57" s="64" t="s">
        <v>168</v>
      </c>
      <c r="P57" s="64" t="s">
        <v>168</v>
      </c>
      <c r="Q57" s="64" t="s">
        <v>168</v>
      </c>
      <c r="R57" s="64" t="s">
        <v>168</v>
      </c>
    </row>
    <row r="58" spans="4:18" x14ac:dyDescent="0.25">
      <c r="D58"/>
      <c r="E58"/>
      <c r="F58"/>
      <c r="G58" s="66"/>
      <c r="H58"/>
      <c r="I58"/>
      <c r="J58"/>
      <c r="K58"/>
      <c r="L58"/>
      <c r="M58"/>
      <c r="N58"/>
      <c r="O58"/>
      <c r="P58"/>
      <c r="Q58"/>
      <c r="R58"/>
    </row>
    <row r="59" spans="4:18" x14ac:dyDescent="0.25">
      <c r="D59"/>
      <c r="E59" s="71" t="s">
        <v>197</v>
      </c>
      <c r="F59" s="10"/>
      <c r="G59" s="69" t="str">
        <f t="array" ref="G59">INDEX(I59:XFD59,0,MATCH($G$10,$I$10:$XFD$10))</f>
        <v>Base</v>
      </c>
      <c r="H59"/>
      <c r="I59" s="70" t="s">
        <v>181</v>
      </c>
      <c r="J59" s="70" t="s">
        <v>182</v>
      </c>
      <c r="K59" s="70" t="s">
        <v>183</v>
      </c>
      <c r="L59" s="70" t="s">
        <v>181</v>
      </c>
      <c r="M59" s="70" t="s">
        <v>181</v>
      </c>
      <c r="N59" s="70" t="s">
        <v>181</v>
      </c>
      <c r="O59" s="70" t="s">
        <v>181</v>
      </c>
      <c r="P59" s="70" t="s">
        <v>181</v>
      </c>
      <c r="Q59" s="70" t="s">
        <v>181</v>
      </c>
      <c r="R59" s="70" t="s">
        <v>181</v>
      </c>
    </row>
    <row r="60" spans="4:18" x14ac:dyDescent="0.25">
      <c r="D60"/>
      <c r="E60"/>
      <c r="F60"/>
      <c r="G60" s="66"/>
      <c r="H60"/>
      <c r="I60" s="66"/>
      <c r="J60" s="66"/>
      <c r="K60" s="66"/>
      <c r="L60" s="66"/>
      <c r="M60" s="66"/>
      <c r="N60" s="66"/>
      <c r="O60" s="66"/>
      <c r="P60" s="66"/>
      <c r="Q60" s="66"/>
      <c r="R60" s="66"/>
    </row>
    <row r="61" spans="4:18" x14ac:dyDescent="0.25">
      <c r="D61" s="62"/>
      <c r="E61" s="63"/>
      <c r="F61" s="64"/>
      <c r="G61" s="65" t="s">
        <v>168</v>
      </c>
      <c r="H61" s="64" t="s">
        <v>168</v>
      </c>
      <c r="I61" s="64" t="s">
        <v>168</v>
      </c>
      <c r="J61" s="64" t="s">
        <v>168</v>
      </c>
      <c r="K61" s="64" t="s">
        <v>168</v>
      </c>
      <c r="L61" s="64" t="s">
        <v>168</v>
      </c>
      <c r="M61" s="64" t="s">
        <v>168</v>
      </c>
      <c r="N61" s="64" t="s">
        <v>168</v>
      </c>
      <c r="O61" s="64" t="s">
        <v>168</v>
      </c>
      <c r="P61" s="64" t="s">
        <v>168</v>
      </c>
      <c r="Q61" s="64" t="s">
        <v>168</v>
      </c>
      <c r="R61" s="64" t="s">
        <v>168</v>
      </c>
    </row>
    <row r="62" spans="4:18" x14ac:dyDescent="0.25">
      <c r="D62"/>
      <c r="E62"/>
      <c r="F62"/>
      <c r="G62" s="66"/>
      <c r="H62"/>
      <c r="I62"/>
      <c r="J62"/>
      <c r="K62"/>
      <c r="L62"/>
      <c r="M62"/>
      <c r="N62"/>
      <c r="O62"/>
      <c r="P62"/>
      <c r="Q62"/>
      <c r="R62"/>
    </row>
    <row r="63" spans="4:18" x14ac:dyDescent="0.25">
      <c r="D63"/>
      <c r="E63" t="s">
        <v>197</v>
      </c>
      <c r="F63" s="10"/>
      <c r="G63" s="69" t="str" cm="1">
        <f t="array" ref="G63">INDEX(I63:XFD63,0,MATCH($G$10,$I$10:$XFD$10))</f>
        <v>Base</v>
      </c>
      <c r="H63"/>
      <c r="I63" s="70" t="s">
        <v>181</v>
      </c>
      <c r="J63" s="70" t="s">
        <v>182</v>
      </c>
      <c r="K63" s="70" t="s">
        <v>183</v>
      </c>
      <c r="L63" s="70" t="s">
        <v>181</v>
      </c>
      <c r="M63" s="70" t="s">
        <v>181</v>
      </c>
      <c r="N63" s="70" t="s">
        <v>181</v>
      </c>
      <c r="O63" s="70" t="s">
        <v>181</v>
      </c>
      <c r="P63" s="70" t="s">
        <v>181</v>
      </c>
      <c r="Q63" s="70" t="s">
        <v>181</v>
      </c>
      <c r="R63" s="70" t="s">
        <v>181</v>
      </c>
    </row>
  </sheetData>
  <dataValidations count="1">
    <dataValidation type="list" allowBlank="1" showErrorMessage="1" sqref="G10" xr:uid="{73EBA6A4-8AC5-4AAE-AA3F-E0DF8E8D6FC2}">
      <formula1>"Case 1,Case 2,Case 3,Case 4,Case 5,Case 6,Case 7,Case 8,Case 9,Case 10"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3" name="Button 1">
              <controlPr defaultSize="0" print="0" autoFill="0" autoPict="0" macro="[0]!BacktoHub">
                <anchor moveWithCells="1" sizeWithCells="1">
                  <from>
                    <xdr:col>18</xdr:col>
                    <xdr:colOff>504825</xdr:colOff>
                    <xdr:row>1</xdr:row>
                    <xdr:rowOff>57150</xdr:rowOff>
                  </from>
                  <to>
                    <xdr:col>20</xdr:col>
                    <xdr:colOff>514350</xdr:colOff>
                    <xdr:row>4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B2CA3E-FA62-41F7-B511-F731A5F16A71}">
  <sheetPr codeName="Sheet9"/>
  <dimension ref="B2:R87"/>
  <sheetViews>
    <sheetView zoomScaleNormal="100" workbookViewId="0">
      <selection activeCell="F11" sqref="F11"/>
    </sheetView>
  </sheetViews>
  <sheetFormatPr defaultColWidth="8.85546875" defaultRowHeight="15" x14ac:dyDescent="0.25"/>
  <cols>
    <col min="1" max="1" width="8.85546875" style="71"/>
    <col min="2" max="2" width="20.7109375" style="71" bestFit="1" customWidth="1"/>
    <col min="3" max="3" width="15" style="71" bestFit="1" customWidth="1"/>
    <col min="4" max="4" width="5" style="71" bestFit="1" customWidth="1"/>
    <col min="5" max="5" width="1.42578125" style="71" bestFit="1" customWidth="1"/>
    <col min="6" max="15" width="11.5703125" style="71" bestFit="1" customWidth="1"/>
    <col min="16" max="16" width="8.140625" style="87" bestFit="1" customWidth="1"/>
    <col min="17" max="17" width="8.85546875" style="71"/>
    <col min="18" max="19" width="8.5703125" style="71" bestFit="1" customWidth="1"/>
    <col min="20" max="20" width="9" style="71" bestFit="1" customWidth="1"/>
    <col min="21" max="21" width="8.42578125" style="71" bestFit="1" customWidth="1"/>
    <col min="22" max="22" width="8.5703125" style="71" bestFit="1" customWidth="1"/>
    <col min="23" max="23" width="6.5703125" style="71" bestFit="1" customWidth="1"/>
    <col min="24" max="24" width="15.5703125" style="71" bestFit="1" customWidth="1"/>
    <col min="25" max="28" width="9.42578125" style="71" bestFit="1" customWidth="1"/>
    <col min="29" max="16384" width="8.85546875" style="71"/>
  </cols>
  <sheetData>
    <row r="2" spans="2:17" x14ac:dyDescent="0.25">
      <c r="B2" s="111" t="str">
        <f>DCF!C2</f>
        <v>CAESARS ENTERTAINMENT INC</v>
      </c>
      <c r="C2" s="115"/>
      <c r="D2" s="115"/>
      <c r="E2" s="115" t="s">
        <v>168</v>
      </c>
      <c r="F2" s="115" t="s">
        <v>168</v>
      </c>
      <c r="G2" s="115" t="s">
        <v>168</v>
      </c>
      <c r="H2" s="115" t="s">
        <v>168</v>
      </c>
      <c r="I2" s="115" t="s">
        <v>168</v>
      </c>
      <c r="J2" s="115" t="s">
        <v>168</v>
      </c>
      <c r="K2" s="115"/>
      <c r="L2" s="115"/>
      <c r="M2" s="115"/>
      <c r="N2" s="115"/>
      <c r="O2" s="115"/>
    </row>
    <row r="3" spans="2:17" x14ac:dyDescent="0.25">
      <c r="B3" s="111" t="s">
        <v>198</v>
      </c>
      <c r="C3" s="115"/>
      <c r="D3" s="115"/>
      <c r="E3" s="115" t="s">
        <v>168</v>
      </c>
      <c r="F3" s="115" t="s">
        <v>168</v>
      </c>
      <c r="G3" s="115" t="s">
        <v>168</v>
      </c>
      <c r="H3" s="115" t="s">
        <v>168</v>
      </c>
      <c r="I3" s="115" t="s">
        <v>168</v>
      </c>
      <c r="J3" s="115" t="s">
        <v>168</v>
      </c>
      <c r="K3" s="115"/>
      <c r="L3" s="115"/>
      <c r="M3" s="115"/>
      <c r="N3" s="115"/>
      <c r="O3" s="115"/>
    </row>
    <row r="4" spans="2:17" x14ac:dyDescent="0.25">
      <c r="B4" s="115"/>
      <c r="C4" s="115"/>
      <c r="D4" s="115"/>
      <c r="E4" s="115" t="s">
        <v>168</v>
      </c>
      <c r="F4" s="115" t="s">
        <v>168</v>
      </c>
      <c r="G4" s="115" t="s">
        <v>168</v>
      </c>
      <c r="H4" s="115" t="s">
        <v>168</v>
      </c>
      <c r="I4" s="115" t="s">
        <v>168</v>
      </c>
      <c r="J4" s="115" t="s">
        <v>168</v>
      </c>
      <c r="K4" s="115"/>
      <c r="L4" s="115"/>
      <c r="M4" s="115"/>
      <c r="N4" s="115"/>
      <c r="O4" s="115"/>
    </row>
    <row r="5" spans="2:17" x14ac:dyDescent="0.25">
      <c r="B5" s="10"/>
      <c r="C5"/>
      <c r="D5"/>
      <c r="E5"/>
      <c r="F5"/>
      <c r="G5"/>
      <c r="H5"/>
      <c r="I5"/>
      <c r="J5"/>
      <c r="K5"/>
      <c r="L5"/>
      <c r="M5"/>
      <c r="N5"/>
      <c r="O5"/>
    </row>
    <row r="6" spans="2:17" x14ac:dyDescent="0.25">
      <c r="B6" s="72" t="s">
        <v>199</v>
      </c>
      <c r="C6" s="72"/>
      <c r="D6" s="72"/>
      <c r="E6" s="72" t="s">
        <v>168</v>
      </c>
      <c r="F6" s="72" t="s">
        <v>168</v>
      </c>
      <c r="G6" s="72" t="s">
        <v>168</v>
      </c>
      <c r="H6" s="72" t="s">
        <v>168</v>
      </c>
      <c r="I6" s="72" t="s">
        <v>168</v>
      </c>
      <c r="J6" s="72" t="s">
        <v>168</v>
      </c>
      <c r="K6" s="72"/>
      <c r="L6" s="72"/>
      <c r="M6" s="72"/>
      <c r="N6" s="72"/>
      <c r="O6" s="72"/>
    </row>
    <row r="7" spans="2:17" x14ac:dyDescent="0.25">
      <c r="B7" s="10"/>
      <c r="C7"/>
      <c r="D7"/>
      <c r="E7"/>
      <c r="F7"/>
      <c r="G7"/>
      <c r="H7"/>
      <c r="I7"/>
      <c r="J7"/>
      <c r="K7"/>
      <c r="L7"/>
      <c r="M7"/>
      <c r="N7"/>
      <c r="O7"/>
    </row>
    <row r="8" spans="2:17" x14ac:dyDescent="0.25">
      <c r="B8" s="73" t="s">
        <v>200</v>
      </c>
      <c r="C8" s="74"/>
      <c r="D8" s="75"/>
      <c r="E8" s="75" t="s">
        <v>168</v>
      </c>
      <c r="F8" s="76">
        <f ca="1">YEAR(DCF!J16)</f>
        <v>2024</v>
      </c>
      <c r="G8" s="77">
        <f t="shared" ref="G8:J8" ca="1" si="0">F8+1</f>
        <v>2025</v>
      </c>
      <c r="H8" s="77">
        <f t="shared" ca="1" si="0"/>
        <v>2026</v>
      </c>
      <c r="I8" s="77">
        <f t="shared" ca="1" si="0"/>
        <v>2027</v>
      </c>
      <c r="J8" s="77">
        <f t="shared" ca="1" si="0"/>
        <v>2028</v>
      </c>
      <c r="K8" s="77">
        <f t="shared" ref="K8" ca="1" si="1">J8+1</f>
        <v>2029</v>
      </c>
      <c r="L8" s="77">
        <f t="shared" ref="L8" ca="1" si="2">K8+1</f>
        <v>2030</v>
      </c>
      <c r="M8" s="77">
        <f t="shared" ref="M8" ca="1" si="3">L8+1</f>
        <v>2031</v>
      </c>
      <c r="N8" s="77">
        <f t="shared" ref="N8" ca="1" si="4">M8+1</f>
        <v>2032</v>
      </c>
      <c r="O8" s="77">
        <f t="shared" ref="O8" ca="1" si="5">N8+1</f>
        <v>2033</v>
      </c>
    </row>
    <row r="9" spans="2:17" x14ac:dyDescent="0.25">
      <c r="B9" s="62" t="str">
        <f>IF(ISBLANK(Hub!D13), Revenue_Build!C6, Hub!D13)</f>
        <v>Casino &amp; Pari-Mutuel Commissions</v>
      </c>
      <c r="C9" s="63"/>
      <c r="D9" s="64"/>
      <c r="E9" s="65" t="s">
        <v>168</v>
      </c>
      <c r="F9" s="64" t="s">
        <v>168</v>
      </c>
      <c r="G9" s="64" t="s">
        <v>168</v>
      </c>
      <c r="H9" s="64" t="s">
        <v>168</v>
      </c>
      <c r="I9" s="64" t="s">
        <v>168</v>
      </c>
      <c r="J9" s="64" t="s">
        <v>168</v>
      </c>
      <c r="K9" s="64"/>
      <c r="L9" s="64"/>
      <c r="M9" s="64"/>
      <c r="N9" s="64"/>
      <c r="O9" s="64"/>
      <c r="P9" s="65" t="s">
        <v>168</v>
      </c>
      <c r="Q9" s="65" t="s">
        <v>168</v>
      </c>
    </row>
    <row r="10" spans="2:17" x14ac:dyDescent="0.25">
      <c r="B10" s="78"/>
      <c r="C10" s="79"/>
      <c r="D10"/>
      <c r="E10"/>
      <c r="F10"/>
      <c r="G10"/>
      <c r="H10"/>
      <c r="I10"/>
      <c r="J10"/>
      <c r="K10"/>
      <c r="L10"/>
      <c r="M10"/>
      <c r="N10"/>
      <c r="O10"/>
      <c r="P10" s="66"/>
    </row>
    <row r="11" spans="2:17" x14ac:dyDescent="0.25">
      <c r="B11" s="80"/>
      <c r="C11" s="81" t="s">
        <v>201</v>
      </c>
      <c r="D11" s="82" t="str">
        <f>SC_Manager!G27</f>
        <v>Base</v>
      </c>
      <c r="E11" s="83" t="s">
        <v>168</v>
      </c>
      <c r="F11" s="251" cm="1">
        <f t="array" ref="F11">INDEX(F13:F15,MATCH($D11,$C13:$C15,0),0)</f>
        <v>8189.9666748176778</v>
      </c>
      <c r="G11" s="251" cm="1">
        <f t="array" ref="G11">INDEX(G13:G15,MATCH($D11,$C13:$C15,0),0)</f>
        <v>10534.875786810762</v>
      </c>
      <c r="H11" s="251" cm="1">
        <f t="array" ref="H11">INDEX(H13:H15,MATCH($D11,$C13:$C15,0),0)</f>
        <v>13551.167208626324</v>
      </c>
      <c r="I11" s="251" cm="1">
        <f t="array" ref="I11">INDEX(I13:I15,MATCH($D11,$C13:$C15,0),0)</f>
        <v>17431.067668216067</v>
      </c>
      <c r="J11" s="251" cm="1">
        <f t="array" ref="J11">INDEX(J13:J15,MATCH($D11,$C13:$C15,0),0)</f>
        <v>22421.841261061956</v>
      </c>
      <c r="K11" s="251" cm="1">
        <f t="array" ref="K11">INDEX(K13:K15,MATCH($D11,$C13:$C15,0),0)</f>
        <v>28841.547466020009</v>
      </c>
      <c r="L11" s="251" cm="1">
        <f t="array" ref="L11">INDEX(L13:L15,MATCH($D11,$C13:$C15,0),0)</f>
        <v>37099.310915168229</v>
      </c>
      <c r="M11" s="251" cm="1">
        <f t="array" ref="M11">INDEX(M13:M15,MATCH($D11,$C13:$C15,0),0)</f>
        <v>47721.39469984726</v>
      </c>
      <c r="N11" s="251" cm="1">
        <f t="array" ref="N11">INDEX(N13:N15,MATCH($D11,$C13:$C15,0),0)</f>
        <v>61384.738851510912</v>
      </c>
      <c r="O11" s="251" cm="1">
        <f t="array" ref="O11">INDEX(O13:O15,MATCH($D11,$C13:$C15,0),0)</f>
        <v>78960.101387821633</v>
      </c>
      <c r="P11" s="84"/>
    </row>
    <row r="12" spans="2:17" x14ac:dyDescent="0.25">
      <c r="B12" s="10"/>
      <c r="C12"/>
      <c r="D12"/>
      <c r="E12"/>
      <c r="F12" s="234"/>
      <c r="G12" s="252"/>
      <c r="H12" s="252"/>
      <c r="I12" s="252"/>
      <c r="J12" s="252"/>
      <c r="K12" s="252"/>
      <c r="L12" s="252"/>
      <c r="M12" s="252"/>
      <c r="N12" s="252"/>
      <c r="O12" s="252"/>
      <c r="P12" s="66" t="s">
        <v>202</v>
      </c>
      <c r="Q12" s="87" t="s">
        <v>203</v>
      </c>
    </row>
    <row r="13" spans="2:17" x14ac:dyDescent="0.25">
      <c r="B13" s="10">
        <v>1</v>
      </c>
      <c r="C13" t="s">
        <v>181</v>
      </c>
      <c r="D13"/>
      <c r="E13"/>
      <c r="F13" s="253">
        <f>IF($Q13=0, Revenue_Build!$H$6*(1+$P13), Revenue_Build!$H$6*(1+$Q13))</f>
        <v>8189.9666748176778</v>
      </c>
      <c r="G13" s="253">
        <f t="shared" ref="G13:O13" si="6">IF($Q13=0, F13*(1+$P13), F13*(1+$Q13))</f>
        <v>10534.875786810762</v>
      </c>
      <c r="H13" s="253">
        <f t="shared" si="6"/>
        <v>13551.167208626324</v>
      </c>
      <c r="I13" s="253">
        <f t="shared" si="6"/>
        <v>17431.067668216067</v>
      </c>
      <c r="J13" s="253">
        <f t="shared" si="6"/>
        <v>22421.841261061956</v>
      </c>
      <c r="K13" s="253">
        <f t="shared" si="6"/>
        <v>28841.547466020009</v>
      </c>
      <c r="L13" s="253">
        <f t="shared" si="6"/>
        <v>37099.310915168229</v>
      </c>
      <c r="M13" s="253">
        <f t="shared" si="6"/>
        <v>47721.39469984726</v>
      </c>
      <c r="N13" s="253">
        <f t="shared" si="6"/>
        <v>61384.738851510912</v>
      </c>
      <c r="O13" s="253">
        <f t="shared" si="6"/>
        <v>78960.101387821633</v>
      </c>
      <c r="P13" s="86">
        <f>IF(Revenue_Build!D6=0, IF(Revenue_Build!E6=0, IF(Revenue_Build!F6=0, IF(Revenue_Build!G6=0, 0, (Revenue_Build!H6/Revenue_Build!G6)^(1/2)-1), (Revenue_Build!H6/Revenue_Build!F6)^(1/3)-1), (Revenue_Build!H6/Revenue_Build!E6)^(1/4)-1), (Revenue_Build!H6/Revenue_Build!D6)^(1/5)-1)</f>
        <v>0.28631485390571343</v>
      </c>
      <c r="Q13" s="126">
        <f>Hub!D36</f>
        <v>0</v>
      </c>
    </row>
    <row r="14" spans="2:17" x14ac:dyDescent="0.25">
      <c r="B14" s="10">
        <v>2</v>
      </c>
      <c r="C14" t="s">
        <v>182</v>
      </c>
      <c r="D14"/>
      <c r="E14"/>
      <c r="F14" s="253">
        <f>IF($Q14=0, Revenue_Build!$H$6*(1+$P14), Revenue_Build!$H$6*(1+$Q14))</f>
        <v>8645.7083435220957</v>
      </c>
      <c r="G14" s="253">
        <f t="shared" ref="G14:O14" si="7">IF($Q14=0, F14*(1+$P14), F14*(1+$Q14))</f>
        <v>11739.951745130766</v>
      </c>
      <c r="H14" s="253">
        <f t="shared" si="7"/>
        <v>15941.604956089815</v>
      </c>
      <c r="I14" s="253">
        <f t="shared" si="7"/>
        <v>21647.002823621631</v>
      </c>
      <c r="J14" s="253">
        <f t="shared" si="7"/>
        <v>29394.325887298874</v>
      </c>
      <c r="K14" s="253">
        <f t="shared" si="7"/>
        <v>39914.366039897504</v>
      </c>
      <c r="L14" s="253">
        <f t="shared" si="7"/>
        <v>54199.460891713032</v>
      </c>
      <c r="M14" s="253">
        <f t="shared" si="7"/>
        <v>73597.099300437083</v>
      </c>
      <c r="N14" s="253">
        <f t="shared" si="7"/>
        <v>99937.027718048237</v>
      </c>
      <c r="O14" s="253">
        <f t="shared" si="7"/>
        <v>135703.84708162851</v>
      </c>
      <c r="P14" s="86">
        <f>IF(P13&gt;0, P13*SC_Manager!$J$22, IF(P13&lt;0, P13*SC_Manager!$J$23, 0))</f>
        <v>0.35789356738214179</v>
      </c>
      <c r="Q14" s="86">
        <f>IF(Q13&gt;0, Q13*SC_Manager!$J$22, IF(Q13&lt;0, Q13*SC_Manager!$J$23, 0))</f>
        <v>0</v>
      </c>
    </row>
    <row r="15" spans="2:17" x14ac:dyDescent="0.25">
      <c r="B15" s="10">
        <v>3</v>
      </c>
      <c r="C15" t="s">
        <v>183</v>
      </c>
      <c r="D15"/>
      <c r="E15"/>
      <c r="F15" s="253">
        <f>IF($Q15=0, Revenue_Build!$H$6*(1+$P15), Revenue_Build!$H$6*(1+$Q15))</f>
        <v>7460.7800048906056</v>
      </c>
      <c r="G15" s="253">
        <f t="shared" ref="G15:O15" si="8">IF($Q15=0, F15*(1+$P15), F15*(1+$Q15))</f>
        <v>8742.4592871643581</v>
      </c>
      <c r="H15" s="253">
        <f t="shared" si="8"/>
        <v>10244.316859313023</v>
      </c>
      <c r="I15" s="253">
        <f t="shared" si="8"/>
        <v>12004.17691027585</v>
      </c>
      <c r="J15" s="253">
        <f t="shared" si="8"/>
        <v>14066.361405270231</v>
      </c>
      <c r="K15" s="253">
        <f t="shared" si="8"/>
        <v>16482.806331711177</v>
      </c>
      <c r="L15" s="253">
        <f t="shared" si="8"/>
        <v>19314.369703803208</v>
      </c>
      <c r="M15" s="253">
        <f t="shared" si="8"/>
        <v>22632.364267818419</v>
      </c>
      <c r="N15" s="253">
        <f t="shared" si="8"/>
        <v>26520.353509147208</v>
      </c>
      <c r="O15" s="253">
        <f t="shared" si="8"/>
        <v>31076.256193446821</v>
      </c>
      <c r="P15" s="86">
        <f>IF(P13&gt;0, P13*SC_Manager!$K$22, IF(P13&lt;0, P13*SC_Manager!$K$23, 0))</f>
        <v>0.17178891234342805</v>
      </c>
      <c r="Q15" s="86">
        <f>IF(Q13&gt;0, Q13*SC_Manager!$K$22, IF(Q13&lt;0, Q13*SC_Manager!$K$23, 0))</f>
        <v>0</v>
      </c>
    </row>
    <row r="16" spans="2:17" x14ac:dyDescent="0.25">
      <c r="B16" s="10"/>
      <c r="C16"/>
      <c r="D16"/>
      <c r="E16"/>
      <c r="F16" s="234"/>
      <c r="G16" s="234"/>
      <c r="H16" s="234"/>
      <c r="I16" s="234"/>
      <c r="J16" s="234"/>
      <c r="K16" s="245"/>
      <c r="L16" s="234"/>
      <c r="M16" s="234"/>
      <c r="N16" s="234"/>
      <c r="O16" s="234"/>
      <c r="P16" s="66"/>
      <c r="Q16" s="87"/>
    </row>
    <row r="17" spans="2:18" x14ac:dyDescent="0.25">
      <c r="B17" s="62" t="str">
        <f>IF(ISBLANK(Hub!D14), Revenue_Build!C9, Hub!D14)</f>
        <v>Hotel</v>
      </c>
      <c r="C17" s="63"/>
      <c r="D17" s="64"/>
      <c r="E17" s="65" t="s">
        <v>168</v>
      </c>
      <c r="F17" s="254" t="s">
        <v>168</v>
      </c>
      <c r="G17" s="254" t="s">
        <v>168</v>
      </c>
      <c r="H17" s="254" t="s">
        <v>168</v>
      </c>
      <c r="I17" s="254" t="s">
        <v>168</v>
      </c>
      <c r="J17" s="254" t="s">
        <v>168</v>
      </c>
      <c r="K17" s="254"/>
      <c r="L17" s="254"/>
      <c r="M17" s="254"/>
      <c r="N17" s="254"/>
      <c r="O17" s="254"/>
      <c r="P17" s="65" t="s">
        <v>168</v>
      </c>
      <c r="Q17" s="65" t="s">
        <v>168</v>
      </c>
      <c r="R17" s="88"/>
    </row>
    <row r="18" spans="2:18" x14ac:dyDescent="0.25">
      <c r="B18" s="78"/>
      <c r="C18" s="79"/>
      <c r="D18"/>
      <c r="E18"/>
      <c r="F18" s="234"/>
      <c r="G18" s="234"/>
      <c r="H18" s="234"/>
      <c r="I18" s="234"/>
      <c r="J18" s="234"/>
      <c r="K18" s="234"/>
      <c r="L18" s="234"/>
      <c r="M18" s="234"/>
      <c r="N18" s="234"/>
      <c r="O18" s="234"/>
      <c r="P18" s="66"/>
      <c r="Q18" s="87"/>
    </row>
    <row r="19" spans="2:18" x14ac:dyDescent="0.25">
      <c r="B19" s="80"/>
      <c r="C19" s="81" t="s">
        <v>201</v>
      </c>
      <c r="D19" s="82" t="str">
        <f>SC_Manager!G31</f>
        <v>Base</v>
      </c>
      <c r="E19" s="83" t="s">
        <v>168</v>
      </c>
      <c r="F19" s="251" cm="1">
        <f t="array" ref="F19">INDEX(F21:F23,MATCH($D19,$C21:$C23,0),0)</f>
        <v>3081.4228051304863</v>
      </c>
      <c r="G19" s="251" cm="1">
        <f t="array" ref="G19">INDEX(G21:G23,MATCH($D19,$C21:$C23,0),0)</f>
        <v>4543.1418679321696</v>
      </c>
      <c r="H19" s="251" cm="1">
        <f t="array" ref="H19">INDEX(H21:H23,MATCH($D19,$C21:$C23,0),0)</f>
        <v>6698.2492625786135</v>
      </c>
      <c r="I19" s="251" cm="1">
        <f t="array" ref="I19">INDEX(I21:I23,MATCH($D19,$C21:$C23,0),0)</f>
        <v>9875.6641302192347</v>
      </c>
      <c r="J19" s="251" cm="1">
        <f t="array" ref="J19">INDEX(J21:J23,MATCH($D19,$C21:$C23,0),0)</f>
        <v>14560.333333333338</v>
      </c>
      <c r="K19" s="251" cm="1">
        <f t="array" ref="K19">INDEX(K21:K23,MATCH($D19,$C21:$C23,0),0)</f>
        <v>21467.245542409059</v>
      </c>
      <c r="L19" s="251" cm="1">
        <f t="array" ref="L19">INDEX(L21:L23,MATCH($D19,$C21:$C23,0),0)</f>
        <v>31650.555013260786</v>
      </c>
      <c r="M19" s="251" cm="1">
        <f t="array" ref="M19">INDEX(M21:M23,MATCH($D19,$C21:$C23,0),0)</f>
        <v>46664.469862631013</v>
      </c>
      <c r="N19" s="251" cm="1">
        <f t="array" ref="N19">INDEX(N21:N23,MATCH($D19,$C21:$C23,0),0)</f>
        <v>68800.460107194012</v>
      </c>
      <c r="O19" s="251" cm="1">
        <f t="array" ref="O19">INDEX(O21:O23,MATCH($D19,$C21:$C23,0),0)</f>
        <v>101436.98888888894</v>
      </c>
      <c r="P19" s="84"/>
      <c r="Q19" s="87"/>
    </row>
    <row r="20" spans="2:18" x14ac:dyDescent="0.25">
      <c r="B20" s="10"/>
      <c r="C20"/>
      <c r="D20"/>
      <c r="E20"/>
      <c r="F20" s="234"/>
      <c r="G20" s="252"/>
      <c r="H20" s="252"/>
      <c r="I20" s="252"/>
      <c r="J20" s="252"/>
      <c r="K20" s="252"/>
      <c r="L20" s="252"/>
      <c r="M20" s="252"/>
      <c r="N20" s="252"/>
      <c r="O20" s="252"/>
      <c r="P20" s="66" t="s">
        <v>202</v>
      </c>
      <c r="Q20" s="87" t="s">
        <v>203</v>
      </c>
    </row>
    <row r="21" spans="2:18" x14ac:dyDescent="0.25">
      <c r="B21" s="10">
        <v>1</v>
      </c>
      <c r="C21" t="s">
        <v>181</v>
      </c>
      <c r="D21"/>
      <c r="E21"/>
      <c r="F21" s="253">
        <f>IF($Q21=0, Revenue_Build!$H$9*(1+$P21), Revenue_Build!$H$9*(1+$Q21))</f>
        <v>3081.4228051304863</v>
      </c>
      <c r="G21" s="253">
        <f t="shared" ref="G21:O21" si="9">IF($Q21=0, F21*(1+$P21), F21*(1+$Q21))</f>
        <v>4543.1418679321696</v>
      </c>
      <c r="H21" s="253">
        <f t="shared" si="9"/>
        <v>6698.2492625786135</v>
      </c>
      <c r="I21" s="253">
        <f t="shared" si="9"/>
        <v>9875.6641302192347</v>
      </c>
      <c r="J21" s="253">
        <f t="shared" si="9"/>
        <v>14560.333333333338</v>
      </c>
      <c r="K21" s="253">
        <f t="shared" si="9"/>
        <v>21467.245542409059</v>
      </c>
      <c r="L21" s="253">
        <f t="shared" si="9"/>
        <v>31650.555013260786</v>
      </c>
      <c r="M21" s="253">
        <f t="shared" si="9"/>
        <v>46664.469862631013</v>
      </c>
      <c r="N21" s="253">
        <f t="shared" si="9"/>
        <v>68800.460107194012</v>
      </c>
      <c r="O21" s="253">
        <f t="shared" si="9"/>
        <v>101436.98888888894</v>
      </c>
      <c r="P21" s="86">
        <f>IF(Revenue_Build!D9=0, IF(Revenue_Build!E9=0, IF(Revenue_Build!F9=0, IF(Revenue_Build!G9=0, 0, (Revenue_Build!H9/Revenue_Build!G9)^(1/2)-1), (Revenue_Build!H9/Revenue_Build!F9)^(1/3)-1), (Revenue_Build!H9/Revenue_Build!E9)^(1/4)-1), (Revenue_Build!H9/Revenue_Build!D9)^(1/5)-1)</f>
        <v>0.47436497853133308</v>
      </c>
      <c r="Q21" s="126">
        <f>Hub!D37</f>
        <v>0</v>
      </c>
    </row>
    <row r="22" spans="2:18" x14ac:dyDescent="0.25">
      <c r="B22" s="10">
        <v>2</v>
      </c>
      <c r="C22" t="s">
        <v>182</v>
      </c>
      <c r="D22"/>
      <c r="E22"/>
      <c r="F22" s="253">
        <f>IF($Q22=0, Revenue_Build!$H$9*(1+$P22), Revenue_Build!$H$9*(1+$Q22))</f>
        <v>3329.2785064131076</v>
      </c>
      <c r="G22" s="253">
        <f t="shared" ref="G22:O22" si="10">IF($Q22=0, F22*(1+$P22), F22*(1+$Q22))</f>
        <v>5303.3949154374604</v>
      </c>
      <c r="H22" s="253">
        <f t="shared" si="10"/>
        <v>8448.0759344433009</v>
      </c>
      <c r="I22" s="253">
        <f t="shared" si="10"/>
        <v>13457.415133534885</v>
      </c>
      <c r="J22" s="253">
        <f t="shared" si="10"/>
        <v>21437.073184668025</v>
      </c>
      <c r="K22" s="253">
        <f t="shared" si="10"/>
        <v>34148.319135942605</v>
      </c>
      <c r="L22" s="253">
        <f t="shared" si="10"/>
        <v>54396.777478195756</v>
      </c>
      <c r="M22" s="253">
        <f t="shared" si="10"/>
        <v>86651.6852039683</v>
      </c>
      <c r="N22" s="253">
        <f t="shared" si="10"/>
        <v>138032.34119332361</v>
      </c>
      <c r="O22" s="253">
        <f t="shared" si="10"/>
        <v>219879.47690182435</v>
      </c>
      <c r="P22" s="86">
        <f>IF(P21&gt;0, P21*SC_Manager!$J$22, IF(P21&lt;0, P21*SC_Manager!$J$23, 0))</f>
        <v>0.5929562231641663</v>
      </c>
      <c r="Q22" s="86">
        <f>IF(Q21&gt;0, Q21*SC_Manager!$J$22, IF(Q21&lt;0, Q21*SC_Manager!$J$23, 0))</f>
        <v>0</v>
      </c>
    </row>
    <row r="23" spans="2:18" x14ac:dyDescent="0.25">
      <c r="B23" s="10">
        <v>3</v>
      </c>
      <c r="C23" t="s">
        <v>183</v>
      </c>
      <c r="D23"/>
      <c r="E23"/>
      <c r="F23" s="253">
        <f>IF($Q23=0, Revenue_Build!$H$9*(1+$P23), Revenue_Build!$H$9*(1+$Q23))</f>
        <v>2684.8536830782919</v>
      </c>
      <c r="G23" s="253">
        <f t="shared" ref="G23:O23" si="11">IF($Q23=0, F23*(1+$P23), F23*(1+$Q23))</f>
        <v>3449.0140189182143</v>
      </c>
      <c r="H23" s="253">
        <f t="shared" si="11"/>
        <v>4430.6688955412574</v>
      </c>
      <c r="I23" s="253">
        <f t="shared" si="11"/>
        <v>5691.7213888489814</v>
      </c>
      <c r="J23" s="253">
        <f t="shared" si="11"/>
        <v>7311.6933655055873</v>
      </c>
      <c r="K23" s="253">
        <f>IF($Q23=0, J23*(1+$P23), J23*(1+$Q23))</f>
        <v>9392.7401253190365</v>
      </c>
      <c r="L23" s="253">
        <f t="shared" si="11"/>
        <v>12066.09230605745</v>
      </c>
      <c r="M23" s="253">
        <f t="shared" si="11"/>
        <v>15500.331276689465</v>
      </c>
      <c r="N23" s="253">
        <f t="shared" si="11"/>
        <v>19912.019864666676</v>
      </c>
      <c r="O23" s="253">
        <f t="shared" si="11"/>
        <v>25579.358790037528</v>
      </c>
      <c r="P23" s="86">
        <f>IF(P21&gt;0, P21*SC_Manager!$K$22, IF(P21&lt;0, P21*SC_Manager!$K$23, 0))</f>
        <v>0.28461898711879985</v>
      </c>
      <c r="Q23" s="86">
        <f>IF(Q21&gt;0, Q21*SC_Manager!$K$22, IF(Q21&lt;0, Q21*SC_Manager!$K$23, 0))</f>
        <v>0</v>
      </c>
    </row>
    <row r="24" spans="2:18" x14ac:dyDescent="0.25">
      <c r="F24" s="241"/>
      <c r="G24" s="241"/>
      <c r="H24" s="241"/>
      <c r="I24" s="241"/>
      <c r="J24" s="241"/>
      <c r="K24" s="241"/>
      <c r="L24" s="241"/>
      <c r="M24" s="241"/>
      <c r="N24" s="241"/>
      <c r="O24" s="241"/>
      <c r="Q24" s="87"/>
    </row>
    <row r="25" spans="2:18" x14ac:dyDescent="0.25">
      <c r="B25" s="62" t="str">
        <f>IF(ISBLANK(Hub!D15), Revenue_Build!C12, Hub!D15)</f>
        <v>Food &amp; Beverage</v>
      </c>
      <c r="C25" s="63"/>
      <c r="D25" s="64"/>
      <c r="E25" s="65" t="s">
        <v>168</v>
      </c>
      <c r="F25" s="254" t="s">
        <v>168</v>
      </c>
      <c r="G25" s="254" t="s">
        <v>168</v>
      </c>
      <c r="H25" s="254" t="s">
        <v>168</v>
      </c>
      <c r="I25" s="254" t="s">
        <v>168</v>
      </c>
      <c r="J25" s="254" t="s">
        <v>168</v>
      </c>
      <c r="K25" s="254"/>
      <c r="L25" s="254"/>
      <c r="M25" s="254"/>
      <c r="N25" s="254"/>
      <c r="O25" s="254"/>
      <c r="P25" s="65" t="s">
        <v>168</v>
      </c>
      <c r="Q25" s="65" t="s">
        <v>168</v>
      </c>
    </row>
    <row r="26" spans="2:18" x14ac:dyDescent="0.25">
      <c r="B26" s="78"/>
      <c r="C26" s="79"/>
      <c r="D26"/>
      <c r="E26"/>
      <c r="F26" s="234"/>
      <c r="G26" s="234"/>
      <c r="H26" s="234"/>
      <c r="I26" s="234"/>
      <c r="J26" s="234"/>
      <c r="K26" s="234"/>
      <c r="L26" s="234"/>
      <c r="M26" s="234"/>
      <c r="N26" s="234"/>
      <c r="O26" s="234"/>
      <c r="P26" s="66"/>
      <c r="Q26" s="87"/>
    </row>
    <row r="27" spans="2:18" x14ac:dyDescent="0.25">
      <c r="B27" s="80"/>
      <c r="C27" s="81" t="s">
        <v>201</v>
      </c>
      <c r="D27" s="82" t="str">
        <f>SC_Manager!G35</f>
        <v>Base</v>
      </c>
      <c r="E27" s="83" t="s">
        <v>168</v>
      </c>
      <c r="F27" s="251" cm="1">
        <f t="array" ref="F27">INDEX(F29:F31,MATCH($D27,$C29:$C31,0),0)</f>
        <v>2450.9767223726335</v>
      </c>
      <c r="G27" s="251" cm="1">
        <f t="array" ref="G27">INDEX(G29:G31,MATCH($D27,$C29:$C31,0),0)</f>
        <v>3476.439174544269</v>
      </c>
      <c r="H27" s="251" cm="1">
        <f t="array" ref="H27">INDEX(H29:H31,MATCH($D27,$C29:$C31,0),0)</f>
        <v>4930.9441513613056</v>
      </c>
      <c r="I27" s="251" cm="1">
        <f t="array" ref="I27">INDEX(I29:I31,MATCH($D27,$C29:$C31,0),0)</f>
        <v>6993.9984573530319</v>
      </c>
      <c r="J27" s="251" cm="1">
        <f t="array" ref="J27">INDEX(J29:J31,MATCH($D27,$C29:$C31,0),0)</f>
        <v>9920.2126245847157</v>
      </c>
      <c r="K27" s="251" cm="1">
        <f t="array" ref="K27">INDEX(K29:K31,MATCH($D27,$C29:$C31,0),0)</f>
        <v>14070.723509169136</v>
      </c>
      <c r="L27" s="251" cm="1">
        <f t="array" ref="L27">INDEX(L29:L31,MATCH($D27,$C29:$C31,0),0)</f>
        <v>19957.763766154472</v>
      </c>
      <c r="M27" s="251" cm="1">
        <f t="array" ref="M27">INDEX(M29:M31,MATCH($D27,$C29:$C31,0),0)</f>
        <v>28307.878716120715</v>
      </c>
      <c r="N27" s="251" cm="1">
        <f t="array" ref="N27">INDEX(N29:N31,MATCH($D27,$C29:$C31,0),0)</f>
        <v>40151.592472777535</v>
      </c>
      <c r="O27" s="251" cm="1">
        <f t="array" ref="O27">INDEX(O29:O31,MATCH($D27,$C29:$C31,0),0)</f>
        <v>56950.589419542812</v>
      </c>
      <c r="P27" s="84"/>
      <c r="Q27" s="87"/>
    </row>
    <row r="28" spans="2:18" x14ac:dyDescent="0.25">
      <c r="B28" s="10"/>
      <c r="C28"/>
      <c r="D28"/>
      <c r="E28"/>
      <c r="F28" s="234"/>
      <c r="G28" s="252"/>
      <c r="H28" s="252"/>
      <c r="I28" s="252"/>
      <c r="J28" s="252"/>
      <c r="K28" s="252"/>
      <c r="L28" s="252"/>
      <c r="M28" s="252"/>
      <c r="N28" s="252"/>
      <c r="O28" s="252"/>
      <c r="P28" s="66" t="s">
        <v>202</v>
      </c>
      <c r="Q28" s="87" t="s">
        <v>203</v>
      </c>
    </row>
    <row r="29" spans="2:18" x14ac:dyDescent="0.25">
      <c r="B29" s="10">
        <v>1</v>
      </c>
      <c r="C29" t="s">
        <v>181</v>
      </c>
      <c r="D29"/>
      <c r="E29"/>
      <c r="F29" s="253">
        <f>IF($Q29=0, Revenue_Build!$H$12*(1+$P29), Revenue_Build!$H$12*(1+$Q29))</f>
        <v>2450.9767223726335</v>
      </c>
      <c r="G29" s="253">
        <f>IF($Q29=0, F29*(1+$P29), F29*(1+$Q29))</f>
        <v>3476.439174544269</v>
      </c>
      <c r="H29" s="253">
        <f t="shared" ref="H29:O29" si="12">IF($Q29=0, G29*(1+$P29), G29*(1+$Q29))</f>
        <v>4930.9441513613056</v>
      </c>
      <c r="I29" s="253">
        <f t="shared" si="12"/>
        <v>6993.9984573530319</v>
      </c>
      <c r="J29" s="253">
        <f t="shared" si="12"/>
        <v>9920.2126245847157</v>
      </c>
      <c r="K29" s="253">
        <f t="shared" si="12"/>
        <v>14070.723509169136</v>
      </c>
      <c r="L29" s="253">
        <f t="shared" si="12"/>
        <v>19957.763766154472</v>
      </c>
      <c r="M29" s="253">
        <f t="shared" si="12"/>
        <v>28307.878716120715</v>
      </c>
      <c r="N29" s="253">
        <f t="shared" si="12"/>
        <v>40151.592472777535</v>
      </c>
      <c r="O29" s="253">
        <f t="shared" si="12"/>
        <v>56950.589419542812</v>
      </c>
      <c r="P29" s="86">
        <f>IF(Revenue_Build!D12=0, IF(Revenue_Build!E12=0, IF(Revenue_Build!F12=0, IF(Revenue_Build!G12=0, 0, (Revenue_Build!H12/Revenue_Build!G12)^(1/2)-1), (Revenue_Build!H12/Revenue_Build!F12)^(1/3)-1), (Revenue_Build!H12/Revenue_Build!E12)^(1/4)-1), (Revenue_Build!H12/Revenue_Build!D12)^(1/5)-1)</f>
        <v>0.41838930692860732</v>
      </c>
      <c r="Q29" s="126">
        <f>Hub!D38</f>
        <v>0</v>
      </c>
    </row>
    <row r="30" spans="2:18" x14ac:dyDescent="0.25">
      <c r="B30" s="10">
        <v>2</v>
      </c>
      <c r="C30" t="s">
        <v>182</v>
      </c>
      <c r="D30"/>
      <c r="E30"/>
      <c r="F30" s="253">
        <f>IF($Q30=0, Revenue_Build!$H$12*(1+$P30), Revenue_Build!$H$12*(1+$Q30))</f>
        <v>2631.720902965792</v>
      </c>
      <c r="G30" s="253">
        <f t="shared" ref="G30:O30" si="13">IF($Q30=0, F30*(1+$P30), F30*(1+$Q30))</f>
        <v>4008.0757587425251</v>
      </c>
      <c r="H30" s="253">
        <f t="shared" si="13"/>
        <v>6104.2458072645713</v>
      </c>
      <c r="I30" s="253">
        <f t="shared" si="13"/>
        <v>9296.684773043673</v>
      </c>
      <c r="J30" s="253">
        <f t="shared" si="13"/>
        <v>14158.726646703022</v>
      </c>
      <c r="K30" s="253">
        <f t="shared" si="13"/>
        <v>21563.551432585125</v>
      </c>
      <c r="L30" s="253">
        <f t="shared" si="13"/>
        <v>32841.000606083464</v>
      </c>
      <c r="M30" s="253">
        <f t="shared" si="13"/>
        <v>50016.404959110005</v>
      </c>
      <c r="N30" s="253">
        <f t="shared" si="13"/>
        <v>76174.316216488252</v>
      </c>
      <c r="O30" s="253">
        <f t="shared" si="13"/>
        <v>116012.46542595961</v>
      </c>
      <c r="P30" s="86">
        <f>IF(P29&gt;0, P29*SC_Manager!$J$22, IF(P29&lt;0, P29*SC_Manager!$J$23, 0))</f>
        <v>0.52298663366075915</v>
      </c>
      <c r="Q30" s="86">
        <f>IF(Q29&gt;0, Q29*SC_Manager!$J$22, IF(Q29&lt;0, Q29*SC_Manager!$J$23, 0))</f>
        <v>0</v>
      </c>
    </row>
    <row r="31" spans="2:18" x14ac:dyDescent="0.25">
      <c r="B31" s="10">
        <v>3</v>
      </c>
      <c r="C31" t="s">
        <v>183</v>
      </c>
      <c r="D31"/>
      <c r="E31"/>
      <c r="F31" s="253">
        <f>IF($Q31=0, Revenue_Build!$H$12*(1+$P31), Revenue_Build!$H$12*(1+$Q31))</f>
        <v>2161.7860334235802</v>
      </c>
      <c r="G31" s="253">
        <f t="shared" ref="G31:O31" si="14">IF($Q31=0, F31*(1+$P31), F31*(1+$Q31))</f>
        <v>2704.4669295748013</v>
      </c>
      <c r="H31" s="253">
        <f t="shared" si="14"/>
        <v>3383.3789561404856</v>
      </c>
      <c r="I31" s="253">
        <f t="shared" si="14"/>
        <v>4232.7207020623573</v>
      </c>
      <c r="J31" s="253">
        <f t="shared" si="14"/>
        <v>5295.2757506373</v>
      </c>
      <c r="K31" s="253">
        <f t="shared" si="14"/>
        <v>6624.5678014203013</v>
      </c>
      <c r="L31" s="253">
        <f t="shared" si="14"/>
        <v>8287.556800102986</v>
      </c>
      <c r="M31" s="253">
        <f t="shared" si="14"/>
        <v>10368.01188753892</v>
      </c>
      <c r="N31" s="253">
        <f t="shared" si="14"/>
        <v>12970.731072251903</v>
      </c>
      <c r="O31" s="253">
        <f t="shared" si="14"/>
        <v>16226.820182457999</v>
      </c>
      <c r="P31" s="86">
        <f>IF(P29&gt;0, P29*SC_Manager!$K$22, IF(P29&lt;0, P29*SC_Manager!$K$23, 0))</f>
        <v>0.25103358415716437</v>
      </c>
      <c r="Q31" s="86">
        <f>IF(Q29&gt;0, Q29*SC_Manager!$K$22, IF(Q29&lt;0, Q29*SC_Manager!$K$23, 0))</f>
        <v>0</v>
      </c>
    </row>
    <row r="32" spans="2:18" x14ac:dyDescent="0.25">
      <c r="F32" s="241"/>
      <c r="G32" s="241"/>
      <c r="H32" s="241"/>
      <c r="I32" s="241"/>
      <c r="J32" s="241"/>
      <c r="K32" s="241"/>
      <c r="L32" s="241"/>
      <c r="M32" s="241"/>
      <c r="N32" s="241"/>
      <c r="O32" s="241"/>
      <c r="Q32" s="87"/>
    </row>
    <row r="33" spans="2:17" x14ac:dyDescent="0.25">
      <c r="B33" s="62" t="str">
        <f>IF(ISBLANK(Hub!D16), Revenue_Build!C15, Hub!D16)</f>
        <v>Other</v>
      </c>
      <c r="C33" s="63"/>
      <c r="D33" s="64"/>
      <c r="E33" s="65" t="s">
        <v>168</v>
      </c>
      <c r="F33" s="254" t="s">
        <v>168</v>
      </c>
      <c r="G33" s="254" t="s">
        <v>168</v>
      </c>
      <c r="H33" s="254" t="s">
        <v>168</v>
      </c>
      <c r="I33" s="254" t="s">
        <v>168</v>
      </c>
      <c r="J33" s="254" t="s">
        <v>168</v>
      </c>
      <c r="K33" s="254"/>
      <c r="L33" s="254"/>
      <c r="M33" s="254"/>
      <c r="N33" s="254"/>
      <c r="O33" s="254"/>
      <c r="P33" s="65" t="s">
        <v>168</v>
      </c>
      <c r="Q33" s="65" t="s">
        <v>168</v>
      </c>
    </row>
    <row r="34" spans="2:17" x14ac:dyDescent="0.25">
      <c r="B34" s="78"/>
      <c r="C34" s="79"/>
      <c r="D34"/>
      <c r="E34"/>
      <c r="F34" s="234"/>
      <c r="G34" s="234"/>
      <c r="H34" s="234"/>
      <c r="I34" s="234"/>
      <c r="J34" s="234"/>
      <c r="K34" s="234"/>
      <c r="L34" s="234"/>
      <c r="M34" s="234"/>
      <c r="N34" s="234"/>
      <c r="O34" s="234"/>
      <c r="P34" s="66"/>
      <c r="Q34" s="87"/>
    </row>
    <row r="35" spans="2:17" x14ac:dyDescent="0.25">
      <c r="B35" s="80"/>
      <c r="C35" s="81" t="s">
        <v>201</v>
      </c>
      <c r="D35" s="82" t="str">
        <f>SC_Manager!G39</f>
        <v>Base</v>
      </c>
      <c r="E35" s="83" t="s">
        <v>168</v>
      </c>
      <c r="F35" s="251" cm="1">
        <f t="array" ref="F35">INDEX(F37:F39,MATCH($D35,$C37:$C39,0),0)</f>
        <v>2180.6291982840303</v>
      </c>
      <c r="G35" s="251" cm="1">
        <f t="array" ref="G35">INDEX(G37:G39,MATCH($D35,$C37:$C39,0),0)</f>
        <v>3540.6877888375675</v>
      </c>
      <c r="H35" s="251" cm="1">
        <f t="array" ref="H35">INDEX(H37:H39,MATCH($D35,$C37:$C39,0),0)</f>
        <v>5749.0150218517656</v>
      </c>
      <c r="I35" s="251" cm="1">
        <f t="array" ref="I35">INDEX(I37:I39,MATCH($D35,$C37:$C39,0),0)</f>
        <v>9334.6761117077167</v>
      </c>
      <c r="J35" s="251" cm="1">
        <f t="array" ref="J35">INDEX(J37:J39,MATCH($D35,$C37:$C39,0),0)</f>
        <v>15156.714285714288</v>
      </c>
      <c r="K35" s="251" cm="1">
        <f t="array" ref="K35">INDEX(K37:K39,MATCH($D35,$C37:$C39,0),0)</f>
        <v>24609.958094919773</v>
      </c>
      <c r="L35" s="251" cm="1">
        <f t="array" ref="L35">INDEX(L37:L39,MATCH($D35,$C37:$C39,0),0)</f>
        <v>39959.190759738267</v>
      </c>
      <c r="M35" s="251" cm="1">
        <f t="array" ref="M35">INDEX(M37:M39,MATCH($D35,$C37:$C39,0),0)</f>
        <v>64881.740960898504</v>
      </c>
      <c r="N35" s="251" cm="1">
        <f t="array" ref="N35">INDEX(N37:N39,MATCH($D35,$C37:$C39,0),0)</f>
        <v>105348.48754641566</v>
      </c>
      <c r="O35" s="251" cm="1">
        <f t="array" ref="O35">INDEX(O37:O39,MATCH($D35,$C37:$C39,0),0)</f>
        <v>171054.34693877553</v>
      </c>
      <c r="P35" s="84"/>
      <c r="Q35" s="87"/>
    </row>
    <row r="36" spans="2:17" x14ac:dyDescent="0.25">
      <c r="B36" s="10"/>
      <c r="C36"/>
      <c r="D36"/>
      <c r="E36"/>
      <c r="F36" s="234"/>
      <c r="G36" s="252"/>
      <c r="H36" s="252"/>
      <c r="I36" s="252"/>
      <c r="J36" s="252"/>
      <c r="K36" s="252"/>
      <c r="L36" s="252"/>
      <c r="M36" s="252"/>
      <c r="N36" s="252"/>
      <c r="O36" s="252"/>
      <c r="P36" s="66" t="s">
        <v>202</v>
      </c>
      <c r="Q36" s="87" t="s">
        <v>203</v>
      </c>
    </row>
    <row r="37" spans="2:17" x14ac:dyDescent="0.25">
      <c r="B37" s="10">
        <v>1</v>
      </c>
      <c r="C37" t="s">
        <v>181</v>
      </c>
      <c r="D37"/>
      <c r="E37"/>
      <c r="F37" s="253">
        <f>IF($Q37=0, Revenue_Build!$H$15*(1+$P37), Revenue_Build!$H$15*(1+$Q37))</f>
        <v>2180.6291982840303</v>
      </c>
      <c r="G37" s="253">
        <f>IF($Q37=0, F37*(1+$P37), F37*(1+$Q37))</f>
        <v>3540.6877888375675</v>
      </c>
      <c r="H37" s="253">
        <f t="shared" ref="H37:O37" si="15">IF($Q37=0, G37*(1+$P37), G37*(1+$Q37))</f>
        <v>5749.0150218517656</v>
      </c>
      <c r="I37" s="253">
        <f t="shared" si="15"/>
        <v>9334.6761117077167</v>
      </c>
      <c r="J37" s="253">
        <f t="shared" si="15"/>
        <v>15156.714285714288</v>
      </c>
      <c r="K37" s="253">
        <f t="shared" si="15"/>
        <v>24609.958094919773</v>
      </c>
      <c r="L37" s="253">
        <f t="shared" si="15"/>
        <v>39959.190759738267</v>
      </c>
      <c r="M37" s="253">
        <f t="shared" si="15"/>
        <v>64881.740960898504</v>
      </c>
      <c r="N37" s="253">
        <f t="shared" si="15"/>
        <v>105348.48754641566</v>
      </c>
      <c r="O37" s="253">
        <f t="shared" si="15"/>
        <v>171054.34693877553</v>
      </c>
      <c r="P37" s="86">
        <f>IF(Revenue_Build!D15=0, IF(Revenue_Build!E15=0, IF(Revenue_Build!F15=0, IF(Revenue_Build!G15=0, 0, (Revenue_Build!H15/Revenue_Build!G15)^(1/2)-1), (Revenue_Build!H15/Revenue_Build!F15)^(1/3)-1), (Revenue_Build!H15/Revenue_Build!E15)^(1/4)-1), (Revenue_Build!H15/Revenue_Build!D15)^(1/5)-1)</f>
        <v>0.62370007318245002</v>
      </c>
      <c r="Q37" s="126">
        <f>Hub!D39</f>
        <v>0</v>
      </c>
    </row>
    <row r="38" spans="2:17" x14ac:dyDescent="0.25">
      <c r="B38" s="10">
        <v>2</v>
      </c>
      <c r="C38" t="s">
        <v>182</v>
      </c>
      <c r="D38"/>
      <c r="E38"/>
      <c r="F38" s="253">
        <f>IF($Q38=0, Revenue_Build!$H$15*(1+$P38), Revenue_Build!$H$15*(1+$Q38))</f>
        <v>2390.0364978550379</v>
      </c>
      <c r="G38" s="253">
        <f t="shared" ref="G38:O38" si="16">IF($Q38=0, F38*(1+$P38), F38*(1+$Q38))</f>
        <v>4253.3689211311794</v>
      </c>
      <c r="H38" s="253">
        <f t="shared" si="16"/>
        <v>7569.4020553580231</v>
      </c>
      <c r="I38" s="253">
        <f t="shared" si="16"/>
        <v>13470.697825200756</v>
      </c>
      <c r="J38" s="253">
        <f t="shared" si="16"/>
        <v>23972.791849446232</v>
      </c>
      <c r="K38" s="253">
        <f t="shared" si="16"/>
        <v>42662.581888055298</v>
      </c>
      <c r="L38" s="253">
        <f>IF($Q38=0, K38*(1+$P38), K38*(1+$Q38))</f>
        <v>75923.401195220737</v>
      </c>
      <c r="M38" s="253">
        <f t="shared" si="16"/>
        <v>135115.18979737035</v>
      </c>
      <c r="N38" s="253">
        <f t="shared" si="16"/>
        <v>240454.38200322096</v>
      </c>
      <c r="O38" s="253">
        <f t="shared" si="16"/>
        <v>427918.6515687831</v>
      </c>
      <c r="P38" s="86">
        <f>IF(P37&gt;0, P37*SC_Manager!$J$22, IF(P37&lt;0, P37*SC_Manager!$J$23, 0))</f>
        <v>0.77962509147806247</v>
      </c>
      <c r="Q38" s="86">
        <f>IF(Q37&gt;0, Q37*SC_Manager!$J$22, IF(Q37&lt;0, Q37*SC_Manager!$J$23, 0))</f>
        <v>0</v>
      </c>
    </row>
    <row r="39" spans="2:17" x14ac:dyDescent="0.25">
      <c r="B39" s="10">
        <v>3</v>
      </c>
      <c r="C39" t="s">
        <v>183</v>
      </c>
      <c r="D39"/>
      <c r="E39"/>
      <c r="F39" s="253">
        <f>IF($Q39=0, Revenue_Build!$H$15*(1+$P39), Revenue_Build!$H$15*(1+$Q39))</f>
        <v>1845.5775189704184</v>
      </c>
      <c r="G39" s="253">
        <f t="shared" ref="G39:O39" si="17">IF($Q39=0, F39*(1+$P39), F39*(1+$Q39))</f>
        <v>2536.2296191578594</v>
      </c>
      <c r="H39" s="253">
        <f t="shared" si="17"/>
        <v>3485.3375786036122</v>
      </c>
      <c r="I39" s="253">
        <f t="shared" si="17"/>
        <v>4789.620760307982</v>
      </c>
      <c r="J39" s="253">
        <f t="shared" si="17"/>
        <v>6581.9928515401443</v>
      </c>
      <c r="K39" s="253">
        <f t="shared" si="17"/>
        <v>9045.1065054553146</v>
      </c>
      <c r="L39" s="253">
        <f t="shared" si="17"/>
        <v>12429.966659092635</v>
      </c>
      <c r="M39" s="253">
        <f t="shared" si="17"/>
        <v>17081.509328051528</v>
      </c>
      <c r="N39" s="253">
        <f t="shared" si="17"/>
        <v>23473.752498834994</v>
      </c>
      <c r="O39" s="253">
        <f t="shared" si="17"/>
        <v>32258.101189669058</v>
      </c>
      <c r="P39" s="86">
        <f>IF(P37&gt;0, P37*SC_Manager!$K$22, IF(P37&lt;0, P37*SC_Manager!$K$23, 0))</f>
        <v>0.37422004390947</v>
      </c>
      <c r="Q39" s="86">
        <f>IF(Q37&gt;0, Q37*SC_Manager!$K$22, IF(Q37&lt;0, Q37*SC_Manager!$K$23, 0))</f>
        <v>0</v>
      </c>
    </row>
    <row r="40" spans="2:17" x14ac:dyDescent="0.25">
      <c r="F40" s="241"/>
      <c r="G40" s="241"/>
      <c r="H40" s="241"/>
      <c r="I40" s="241"/>
      <c r="J40" s="241"/>
      <c r="K40" s="241"/>
      <c r="L40" s="241"/>
      <c r="M40" s="241"/>
      <c r="N40" s="241"/>
      <c r="O40" s="241"/>
      <c r="Q40" s="87"/>
    </row>
    <row r="41" spans="2:17" x14ac:dyDescent="0.25">
      <c r="B41" s="62" t="str">
        <f>IF(ISBLANK(Hub!D17), Revenue_Build!C18, Hub!D17)</f>
        <v>Division 5 Revenue</v>
      </c>
      <c r="C41" s="63"/>
      <c r="D41" s="64"/>
      <c r="E41" s="65" t="s">
        <v>168</v>
      </c>
      <c r="F41" s="254" t="s">
        <v>168</v>
      </c>
      <c r="G41" s="254" t="s">
        <v>168</v>
      </c>
      <c r="H41" s="254" t="s">
        <v>168</v>
      </c>
      <c r="I41" s="254" t="s">
        <v>168</v>
      </c>
      <c r="J41" s="254" t="s">
        <v>168</v>
      </c>
      <c r="K41" s="254"/>
      <c r="L41" s="254"/>
      <c r="M41" s="254"/>
      <c r="N41" s="254"/>
      <c r="O41" s="254"/>
      <c r="P41" s="65" t="s">
        <v>168</v>
      </c>
      <c r="Q41" s="65" t="s">
        <v>168</v>
      </c>
    </row>
    <row r="42" spans="2:17" x14ac:dyDescent="0.25">
      <c r="B42" s="78"/>
      <c r="C42" s="79"/>
      <c r="D42"/>
      <c r="E42"/>
      <c r="F42" s="234"/>
      <c r="G42" s="234"/>
      <c r="H42" s="234"/>
      <c r="I42" s="234"/>
      <c r="J42" s="234"/>
      <c r="K42" s="234"/>
      <c r="L42" s="234"/>
      <c r="M42" s="234"/>
      <c r="N42" s="234"/>
      <c r="O42" s="234"/>
      <c r="P42" s="66"/>
      <c r="Q42" s="87"/>
    </row>
    <row r="43" spans="2:17" x14ac:dyDescent="0.25">
      <c r="B43" s="80"/>
      <c r="C43" s="81" t="s">
        <v>201</v>
      </c>
      <c r="D43" s="82" t="str">
        <f>SC_Manager!G43</f>
        <v>Base</v>
      </c>
      <c r="E43" s="83" t="s">
        <v>168</v>
      </c>
      <c r="F43" s="251" cm="1">
        <f t="array" ref="F43">INDEX(F45:F47,MATCH($D43,$C45:$C47,0),0)</f>
        <v>0</v>
      </c>
      <c r="G43" s="251" cm="1">
        <f t="array" ref="G43">INDEX(G45:G47,MATCH($D43,$C45:$C47,0),0)</f>
        <v>0</v>
      </c>
      <c r="H43" s="251" cm="1">
        <f t="array" ref="H43">INDEX(H45:H47,MATCH($D43,$C45:$C47,0),0)</f>
        <v>0</v>
      </c>
      <c r="I43" s="251" cm="1">
        <f t="array" ref="I43">INDEX(I45:I47,MATCH($D43,$C45:$C47,0),0)</f>
        <v>0</v>
      </c>
      <c r="J43" s="251" cm="1">
        <f t="array" ref="J43">INDEX(J45:J47,MATCH($D43,$C45:$C47,0),0)</f>
        <v>0</v>
      </c>
      <c r="K43" s="251" cm="1">
        <f t="array" ref="K43">INDEX(K45:K47,MATCH($D43,$C45:$C47,0),0)</f>
        <v>0</v>
      </c>
      <c r="L43" s="251" cm="1">
        <f t="array" ref="L43">INDEX(L45:L47,MATCH($D43,$C45:$C47,0),0)</f>
        <v>0</v>
      </c>
      <c r="M43" s="251" cm="1">
        <f t="array" ref="M43">INDEX(M45:M47,MATCH($D43,$C45:$C47,0),0)</f>
        <v>0</v>
      </c>
      <c r="N43" s="251" cm="1">
        <f t="array" ref="N43">INDEX(N45:N47,MATCH($D43,$C45:$C47,0),0)</f>
        <v>0</v>
      </c>
      <c r="O43" s="251" cm="1">
        <f t="array" ref="O43">INDEX(O45:O47,MATCH($D43,$C45:$C47,0),0)</f>
        <v>0</v>
      </c>
      <c r="P43" s="84"/>
      <c r="Q43" s="87"/>
    </row>
    <row r="44" spans="2:17" x14ac:dyDescent="0.25">
      <c r="B44" s="10"/>
      <c r="C44"/>
      <c r="D44"/>
      <c r="E44"/>
      <c r="F44" s="234"/>
      <c r="G44" s="252"/>
      <c r="H44" s="252"/>
      <c r="I44" s="252"/>
      <c r="J44" s="252"/>
      <c r="K44" s="252"/>
      <c r="L44" s="252"/>
      <c r="M44" s="252"/>
      <c r="N44" s="252"/>
      <c r="O44" s="252"/>
      <c r="P44" s="66" t="s">
        <v>202</v>
      </c>
      <c r="Q44" s="87" t="s">
        <v>203</v>
      </c>
    </row>
    <row r="45" spans="2:17" x14ac:dyDescent="0.25">
      <c r="B45" s="10">
        <v>1</v>
      </c>
      <c r="C45" t="s">
        <v>181</v>
      </c>
      <c r="D45"/>
      <c r="E45"/>
      <c r="F45" s="253">
        <f>IF($Q45=0, Revenue_Build!$H$18*(1+$P45), Revenue_Build!$H$18*(1+$Q45))</f>
        <v>0</v>
      </c>
      <c r="G45" s="253">
        <f>IF($Q45=0, F45*(1+$P45), F45*(1+$Q45))</f>
        <v>0</v>
      </c>
      <c r="H45" s="253">
        <f t="shared" ref="H45:O45" si="18">IF($Q45=0, G45*(1+$P45), G45*(1+$Q45))</f>
        <v>0</v>
      </c>
      <c r="I45" s="253">
        <f t="shared" si="18"/>
        <v>0</v>
      </c>
      <c r="J45" s="253">
        <f t="shared" si="18"/>
        <v>0</v>
      </c>
      <c r="K45" s="253">
        <f t="shared" si="18"/>
        <v>0</v>
      </c>
      <c r="L45" s="253">
        <f t="shared" si="18"/>
        <v>0</v>
      </c>
      <c r="M45" s="253">
        <f t="shared" si="18"/>
        <v>0</v>
      </c>
      <c r="N45" s="253">
        <f t="shared" si="18"/>
        <v>0</v>
      </c>
      <c r="O45" s="253">
        <f t="shared" si="18"/>
        <v>0</v>
      </c>
      <c r="P45" s="86">
        <f>IF(Revenue_Build!D18=0, IF(Revenue_Build!E18=0, IF(Revenue_Build!F18=0, IF(Revenue_Build!G18=0, 0, (Revenue_Build!H18/Revenue_Build!G18)^(1/2)-1), (Revenue_Build!H18/Revenue_Build!F18)^(1/3)-1), (Revenue_Build!H18/Revenue_Build!E18)^(1/4)-1), (Revenue_Build!H18/Revenue_Build!D18)^(1/5)-1)</f>
        <v>0</v>
      </c>
      <c r="Q45" s="126">
        <f>Hub!D40</f>
        <v>0</v>
      </c>
    </row>
    <row r="46" spans="2:17" x14ac:dyDescent="0.25">
      <c r="B46" s="10">
        <v>2</v>
      </c>
      <c r="C46" t="s">
        <v>182</v>
      </c>
      <c r="D46"/>
      <c r="E46"/>
      <c r="F46" s="253">
        <f>IF($Q46=0, Revenue_Build!$H$18*(1+$P46), Revenue_Build!$H$18*(1+$Q46))</f>
        <v>0</v>
      </c>
      <c r="G46" s="253">
        <f t="shared" ref="G46:O46" si="19">IF($Q46=0, F46*(1+$P46), F46*(1+$Q46))</f>
        <v>0</v>
      </c>
      <c r="H46" s="253">
        <f t="shared" si="19"/>
        <v>0</v>
      </c>
      <c r="I46" s="253">
        <f t="shared" si="19"/>
        <v>0</v>
      </c>
      <c r="J46" s="253">
        <f t="shared" si="19"/>
        <v>0</v>
      </c>
      <c r="K46" s="253">
        <f t="shared" si="19"/>
        <v>0</v>
      </c>
      <c r="L46" s="253">
        <f t="shared" si="19"/>
        <v>0</v>
      </c>
      <c r="M46" s="253">
        <f t="shared" si="19"/>
        <v>0</v>
      </c>
      <c r="N46" s="253">
        <f t="shared" si="19"/>
        <v>0</v>
      </c>
      <c r="O46" s="253">
        <f t="shared" si="19"/>
        <v>0</v>
      </c>
      <c r="P46" s="86">
        <f>IF(P45&gt;0, P45*SC_Manager!$J$22, IF(P45&lt;0, P45*SC_Manager!$J$23, 0))</f>
        <v>0</v>
      </c>
      <c r="Q46" s="86">
        <f>IF(Q45&gt;0, Q45*SC_Manager!$J$22, IF(Q45&lt;0, Q45*SC_Manager!$J$23, 0))</f>
        <v>0</v>
      </c>
    </row>
    <row r="47" spans="2:17" x14ac:dyDescent="0.25">
      <c r="B47" s="10">
        <v>3</v>
      </c>
      <c r="C47" t="s">
        <v>183</v>
      </c>
      <c r="D47"/>
      <c r="E47"/>
      <c r="F47" s="253">
        <f>IF($Q47=0, Revenue_Build!$H$18*(1+$P47), Revenue_Build!$H$18*(1+$Q47))</f>
        <v>0</v>
      </c>
      <c r="G47" s="253">
        <f t="shared" ref="G47:O47" si="20">IF($Q47=0, F47*(1+$P47), F47*(1+$Q47))</f>
        <v>0</v>
      </c>
      <c r="H47" s="253">
        <f t="shared" si="20"/>
        <v>0</v>
      </c>
      <c r="I47" s="253">
        <f t="shared" si="20"/>
        <v>0</v>
      </c>
      <c r="J47" s="253">
        <f t="shared" si="20"/>
        <v>0</v>
      </c>
      <c r="K47" s="253">
        <f t="shared" si="20"/>
        <v>0</v>
      </c>
      <c r="L47" s="253">
        <f t="shared" si="20"/>
        <v>0</v>
      </c>
      <c r="M47" s="253">
        <f t="shared" si="20"/>
        <v>0</v>
      </c>
      <c r="N47" s="253">
        <f t="shared" si="20"/>
        <v>0</v>
      </c>
      <c r="O47" s="253">
        <f t="shared" si="20"/>
        <v>0</v>
      </c>
      <c r="P47" s="86">
        <f>IF(P45&gt;0, P45*SC_Manager!$K$22, IF(P45&lt;0, P45*SC_Manager!$K$23, 0))</f>
        <v>0</v>
      </c>
      <c r="Q47" s="86">
        <f>IF(Q45&gt;0, Q45*SC_Manager!$K$22, IF(Q45&lt;0, Q45*SC_Manager!$K$23, 0))</f>
        <v>0</v>
      </c>
    </row>
    <row r="48" spans="2:17" x14ac:dyDescent="0.25">
      <c r="F48" s="241"/>
      <c r="G48" s="241"/>
      <c r="H48" s="241"/>
      <c r="I48" s="241"/>
      <c r="J48" s="241"/>
      <c r="K48" s="241"/>
      <c r="L48" s="241"/>
      <c r="M48" s="241"/>
      <c r="N48" s="241"/>
      <c r="O48" s="241"/>
      <c r="Q48" s="87"/>
    </row>
    <row r="49" spans="2:17" x14ac:dyDescent="0.25">
      <c r="B49" s="62" t="str">
        <f>IF(ISBLANK(Hub!H13), Revenue_Build!C21, Hub!H13)</f>
        <v>Division 6 Revenue</v>
      </c>
      <c r="C49" s="63"/>
      <c r="D49" s="64"/>
      <c r="E49" s="65" t="s">
        <v>168</v>
      </c>
      <c r="F49" s="254" t="s">
        <v>168</v>
      </c>
      <c r="G49" s="254" t="s">
        <v>168</v>
      </c>
      <c r="H49" s="254" t="s">
        <v>168</v>
      </c>
      <c r="I49" s="254" t="s">
        <v>168</v>
      </c>
      <c r="J49" s="254" t="s">
        <v>168</v>
      </c>
      <c r="K49" s="254"/>
      <c r="L49" s="254"/>
      <c r="M49" s="254"/>
      <c r="N49" s="254"/>
      <c r="O49" s="254"/>
      <c r="P49" s="65" t="s">
        <v>168</v>
      </c>
      <c r="Q49" s="65" t="s">
        <v>168</v>
      </c>
    </row>
    <row r="50" spans="2:17" x14ac:dyDescent="0.25">
      <c r="B50" s="78"/>
      <c r="C50" s="79"/>
      <c r="D50"/>
      <c r="E50"/>
      <c r="F50" s="234"/>
      <c r="G50" s="234"/>
      <c r="H50" s="234"/>
      <c r="I50" s="234"/>
      <c r="J50" s="234"/>
      <c r="K50" s="234"/>
      <c r="L50" s="234"/>
      <c r="M50" s="234"/>
      <c r="N50" s="234"/>
      <c r="O50" s="234"/>
      <c r="P50" s="66"/>
      <c r="Q50" s="87"/>
    </row>
    <row r="51" spans="2:17" x14ac:dyDescent="0.25">
      <c r="B51" s="80"/>
      <c r="C51" s="81" t="s">
        <v>201</v>
      </c>
      <c r="D51" s="82" t="str">
        <f>SC_Manager!G47</f>
        <v>Base</v>
      </c>
      <c r="E51" s="83" t="s">
        <v>168</v>
      </c>
      <c r="F51" s="251" cm="1">
        <f t="array" ref="F51">INDEX(F53:F55,MATCH($D51,$C53:$C55,0),0)</f>
        <v>0</v>
      </c>
      <c r="G51" s="251" cm="1">
        <f t="array" ref="G51">INDEX(G53:G55,MATCH($D51,$C53:$C55,0),0)</f>
        <v>0</v>
      </c>
      <c r="H51" s="251" cm="1">
        <f t="array" ref="H51">INDEX(H53:H55,MATCH($D51,$C53:$C55,0),0)</f>
        <v>0</v>
      </c>
      <c r="I51" s="251" cm="1">
        <f t="array" ref="I51">INDEX(I53:I55,MATCH($D51,$C53:$C55,0),0)</f>
        <v>0</v>
      </c>
      <c r="J51" s="251" cm="1">
        <f t="array" ref="J51">INDEX(J53:J55,MATCH($D51,$C53:$C55,0),0)</f>
        <v>0</v>
      </c>
      <c r="K51" s="251" cm="1">
        <f t="array" ref="K51">INDEX(K53:K55,MATCH($D51,$C53:$C55,0),0)</f>
        <v>0</v>
      </c>
      <c r="L51" s="251" cm="1">
        <f t="array" ref="L51">INDEX(L53:L55,MATCH($D51,$C53:$C55,0),0)</f>
        <v>0</v>
      </c>
      <c r="M51" s="251" cm="1">
        <f t="array" ref="M51">INDEX(M53:M55,MATCH($D51,$C53:$C55,0),0)</f>
        <v>0</v>
      </c>
      <c r="N51" s="251" cm="1">
        <f t="array" ref="N51">INDEX(N53:N55,MATCH($D51,$C53:$C55,0),0)</f>
        <v>0</v>
      </c>
      <c r="O51" s="251" cm="1">
        <f t="array" ref="O51">INDEX(O53:O55,MATCH($D51,$C53:$C55,0),0)</f>
        <v>0</v>
      </c>
      <c r="P51" s="84"/>
      <c r="Q51" s="87"/>
    </row>
    <row r="52" spans="2:17" x14ac:dyDescent="0.25">
      <c r="B52" s="10"/>
      <c r="C52"/>
      <c r="D52"/>
      <c r="E52"/>
      <c r="F52" s="234"/>
      <c r="G52" s="252"/>
      <c r="H52" s="252"/>
      <c r="I52" s="252"/>
      <c r="J52" s="252"/>
      <c r="K52" s="252"/>
      <c r="L52" s="252"/>
      <c r="M52" s="252"/>
      <c r="N52" s="252"/>
      <c r="O52" s="252"/>
      <c r="P52" s="66" t="s">
        <v>202</v>
      </c>
      <c r="Q52" s="87" t="s">
        <v>203</v>
      </c>
    </row>
    <row r="53" spans="2:17" x14ac:dyDescent="0.25">
      <c r="B53" s="10">
        <v>1</v>
      </c>
      <c r="C53" t="s">
        <v>181</v>
      </c>
      <c r="D53"/>
      <c r="E53"/>
      <c r="F53" s="253">
        <f>IF($Q53=0, Revenue_Build!$H$21*(1+$P53), Revenue_Build!$H$21*(1+$Q53))</f>
        <v>0</v>
      </c>
      <c r="G53" s="253">
        <f>IF($Q53=0, F53*(1+$P53), F53*(1+$Q53))</f>
        <v>0</v>
      </c>
      <c r="H53" s="253">
        <f t="shared" ref="H53:O53" si="21">IF($Q53=0, G53*(1+$P53), G53*(1+$Q53))</f>
        <v>0</v>
      </c>
      <c r="I53" s="253">
        <f t="shared" si="21"/>
        <v>0</v>
      </c>
      <c r="J53" s="253">
        <f t="shared" si="21"/>
        <v>0</v>
      </c>
      <c r="K53" s="253">
        <f t="shared" si="21"/>
        <v>0</v>
      </c>
      <c r="L53" s="253">
        <f t="shared" si="21"/>
        <v>0</v>
      </c>
      <c r="M53" s="253">
        <f t="shared" si="21"/>
        <v>0</v>
      </c>
      <c r="N53" s="253">
        <f t="shared" si="21"/>
        <v>0</v>
      </c>
      <c r="O53" s="253">
        <f t="shared" si="21"/>
        <v>0</v>
      </c>
      <c r="P53" s="86">
        <f>IF(Revenue_Build!D21=0, IF(Revenue_Build!E21=0, IF(Revenue_Build!F21=0, IF(Revenue_Build!G21=0, 0, (Revenue_Build!H21/Revenue_Build!G21)^(1/2)-1), (Revenue_Build!H21/Revenue_Build!F21)^(1/3)-1), (Revenue_Build!H21/Revenue_Build!E21)^(1/4)-1), (Revenue_Build!H21/Revenue_Build!D21)^(1/5)-1)</f>
        <v>0</v>
      </c>
      <c r="Q53" s="126">
        <f>Hub!H36</f>
        <v>0</v>
      </c>
    </row>
    <row r="54" spans="2:17" x14ac:dyDescent="0.25">
      <c r="B54" s="10">
        <v>2</v>
      </c>
      <c r="C54" t="s">
        <v>182</v>
      </c>
      <c r="D54"/>
      <c r="E54"/>
      <c r="F54" s="253">
        <f>IF($Q54=0, Revenue_Build!$H$21*(1+$P54), Revenue_Build!$H$21*(1+$Q54))</f>
        <v>0</v>
      </c>
      <c r="G54" s="253">
        <f t="shared" ref="G54:O54" si="22">IF($Q54=0, F54*(1+$P54), F54*(1+$Q54))</f>
        <v>0</v>
      </c>
      <c r="H54" s="253">
        <f t="shared" si="22"/>
        <v>0</v>
      </c>
      <c r="I54" s="253">
        <f t="shared" si="22"/>
        <v>0</v>
      </c>
      <c r="J54" s="253">
        <f t="shared" si="22"/>
        <v>0</v>
      </c>
      <c r="K54" s="253">
        <f t="shared" si="22"/>
        <v>0</v>
      </c>
      <c r="L54" s="253">
        <f t="shared" si="22"/>
        <v>0</v>
      </c>
      <c r="M54" s="253">
        <f t="shared" si="22"/>
        <v>0</v>
      </c>
      <c r="N54" s="253">
        <f t="shared" si="22"/>
        <v>0</v>
      </c>
      <c r="O54" s="253">
        <f t="shared" si="22"/>
        <v>0</v>
      </c>
      <c r="P54" s="86">
        <f>IF(P53&gt;0, P53*SC_Manager!$J$22, IF(P53&lt;0, P53*SC_Manager!$J$23, 0))</f>
        <v>0</v>
      </c>
      <c r="Q54" s="86">
        <f>IF(Q53&gt;0, Q53*SC_Manager!$J$22, IF(Q53&lt;0, Q53*SC_Manager!$J$23, 0))</f>
        <v>0</v>
      </c>
    </row>
    <row r="55" spans="2:17" x14ac:dyDescent="0.25">
      <c r="B55" s="10">
        <v>3</v>
      </c>
      <c r="C55" t="s">
        <v>183</v>
      </c>
      <c r="D55"/>
      <c r="E55"/>
      <c r="F55" s="253">
        <f>IF($Q55=0, Revenue_Build!$H$21*(1+$P55), Revenue_Build!$H$21*(1+$Q55))</f>
        <v>0</v>
      </c>
      <c r="G55" s="253">
        <f t="shared" ref="G55:O55" si="23">IF($Q55=0, F55*(1+$P55), F55*(1+$Q55))</f>
        <v>0</v>
      </c>
      <c r="H55" s="253">
        <f t="shared" si="23"/>
        <v>0</v>
      </c>
      <c r="I55" s="253">
        <f t="shared" si="23"/>
        <v>0</v>
      </c>
      <c r="J55" s="253">
        <f t="shared" si="23"/>
        <v>0</v>
      </c>
      <c r="K55" s="253">
        <f t="shared" si="23"/>
        <v>0</v>
      </c>
      <c r="L55" s="253">
        <f t="shared" si="23"/>
        <v>0</v>
      </c>
      <c r="M55" s="253">
        <f t="shared" si="23"/>
        <v>0</v>
      </c>
      <c r="N55" s="253">
        <f t="shared" si="23"/>
        <v>0</v>
      </c>
      <c r="O55" s="253">
        <f t="shared" si="23"/>
        <v>0</v>
      </c>
      <c r="P55" s="86">
        <f>IF(P53&gt;0, P53*SC_Manager!$K$22, IF(P53&lt;0, P53*SC_Manager!$K$23, 0))</f>
        <v>0</v>
      </c>
      <c r="Q55" s="86">
        <f>IF(Q53&gt;0, Q53*SC_Manager!$K$22, IF(Q53&lt;0, Q53*SC_Manager!$K$23, 0))</f>
        <v>0</v>
      </c>
    </row>
    <row r="56" spans="2:17" x14ac:dyDescent="0.25">
      <c r="F56" s="241"/>
      <c r="G56" s="241"/>
      <c r="H56" s="241"/>
      <c r="I56" s="241"/>
      <c r="J56" s="241"/>
      <c r="K56" s="241"/>
      <c r="L56" s="241"/>
      <c r="M56" s="241"/>
      <c r="N56" s="241"/>
      <c r="O56" s="241"/>
      <c r="Q56" s="87"/>
    </row>
    <row r="57" spans="2:17" x14ac:dyDescent="0.25">
      <c r="B57" s="62" t="str">
        <f>IF(ISBLANK(Hub!H14), Revenue_Build!C24, Hub!H14)</f>
        <v>Division 7 Revenue</v>
      </c>
      <c r="C57" s="63"/>
      <c r="D57" s="64"/>
      <c r="E57" s="65" t="s">
        <v>168</v>
      </c>
      <c r="F57" s="254" t="s">
        <v>168</v>
      </c>
      <c r="G57" s="254" t="s">
        <v>168</v>
      </c>
      <c r="H57" s="254" t="s">
        <v>168</v>
      </c>
      <c r="I57" s="254" t="s">
        <v>168</v>
      </c>
      <c r="J57" s="254" t="s">
        <v>168</v>
      </c>
      <c r="K57" s="254"/>
      <c r="L57" s="254"/>
      <c r="M57" s="254"/>
      <c r="N57" s="254"/>
      <c r="O57" s="254"/>
      <c r="P57" s="65" t="s">
        <v>168</v>
      </c>
      <c r="Q57" s="65" t="s">
        <v>168</v>
      </c>
    </row>
    <row r="58" spans="2:17" x14ac:dyDescent="0.25">
      <c r="B58" s="78"/>
      <c r="C58" s="79"/>
      <c r="D58"/>
      <c r="E58"/>
      <c r="F58" s="234"/>
      <c r="G58" s="234"/>
      <c r="H58" s="234"/>
      <c r="I58" s="234"/>
      <c r="J58" s="234"/>
      <c r="K58" s="234"/>
      <c r="L58" s="234"/>
      <c r="M58" s="234"/>
      <c r="N58" s="234"/>
      <c r="O58" s="234"/>
      <c r="P58" s="66"/>
      <c r="Q58" s="87"/>
    </row>
    <row r="59" spans="2:17" x14ac:dyDescent="0.25">
      <c r="B59" s="80"/>
      <c r="C59" s="81" t="s">
        <v>201</v>
      </c>
      <c r="D59" s="82" t="str">
        <f>SC_Manager!G51</f>
        <v>Base</v>
      </c>
      <c r="E59" s="83" t="s">
        <v>168</v>
      </c>
      <c r="F59" s="251" cm="1">
        <f t="array" ref="F59">INDEX(F61:F63,MATCH($D59,$C61:$C63,0),0)</f>
        <v>0</v>
      </c>
      <c r="G59" s="251" cm="1">
        <f t="array" ref="G59">INDEX(G61:G63,MATCH($D59,$C61:$C63,0),0)</f>
        <v>0</v>
      </c>
      <c r="H59" s="251" cm="1">
        <f t="array" ref="H59">INDEX(H61:H63,MATCH($D59,$C61:$C63,0),0)</f>
        <v>0</v>
      </c>
      <c r="I59" s="251" cm="1">
        <f t="array" ref="I59">INDEX(I61:I63,MATCH($D59,$C61:$C63,0),0)</f>
        <v>0</v>
      </c>
      <c r="J59" s="251" cm="1">
        <f t="array" ref="J59">INDEX(J61:J63,MATCH($D59,$C61:$C63,0),0)</f>
        <v>0</v>
      </c>
      <c r="K59" s="251" cm="1">
        <f t="array" ref="K59">INDEX(K61:K63,MATCH($D59,$C61:$C63,0),0)</f>
        <v>0</v>
      </c>
      <c r="L59" s="251" cm="1">
        <f t="array" ref="L59">INDEX(L61:L63,MATCH($D59,$C61:$C63,0),0)</f>
        <v>0</v>
      </c>
      <c r="M59" s="251" cm="1">
        <f t="array" ref="M59">INDEX(M61:M63,MATCH($D59,$C61:$C63,0),0)</f>
        <v>0</v>
      </c>
      <c r="N59" s="251" cm="1">
        <f t="array" ref="N59">INDEX(N61:N63,MATCH($D59,$C61:$C63,0),0)</f>
        <v>0</v>
      </c>
      <c r="O59" s="251" cm="1">
        <f t="array" ref="O59">INDEX(O61:O63,MATCH($D59,$C61:$C63,0),0)</f>
        <v>0</v>
      </c>
      <c r="P59" s="84"/>
      <c r="Q59" s="87"/>
    </row>
    <row r="60" spans="2:17" x14ac:dyDescent="0.25">
      <c r="B60" s="10"/>
      <c r="C60"/>
      <c r="D60"/>
      <c r="E60"/>
      <c r="F60" s="234"/>
      <c r="G60" s="252"/>
      <c r="H60" s="252"/>
      <c r="I60" s="252"/>
      <c r="J60" s="252"/>
      <c r="K60" s="252"/>
      <c r="L60" s="252"/>
      <c r="M60" s="252"/>
      <c r="N60" s="252"/>
      <c r="O60" s="252"/>
      <c r="P60" s="66" t="s">
        <v>202</v>
      </c>
      <c r="Q60" s="87" t="s">
        <v>203</v>
      </c>
    </row>
    <row r="61" spans="2:17" x14ac:dyDescent="0.25">
      <c r="B61" s="10">
        <v>1</v>
      </c>
      <c r="C61" t="s">
        <v>181</v>
      </c>
      <c r="D61"/>
      <c r="E61"/>
      <c r="F61" s="253">
        <f>IF($Q61=0, Revenue_Build!$H$24*(1+$P61), Revenue_Build!$H$24*(1+$Q61))</f>
        <v>0</v>
      </c>
      <c r="G61" s="253">
        <f>IF($Q61=0, F61*(1+$P61), F61*(1+$Q61))</f>
        <v>0</v>
      </c>
      <c r="H61" s="253">
        <f t="shared" ref="H61:O61" si="24">IF($Q61=0, G61*(1+$P61), G61*(1+$Q61))</f>
        <v>0</v>
      </c>
      <c r="I61" s="253">
        <f t="shared" si="24"/>
        <v>0</v>
      </c>
      <c r="J61" s="253">
        <f t="shared" si="24"/>
        <v>0</v>
      </c>
      <c r="K61" s="253">
        <f t="shared" si="24"/>
        <v>0</v>
      </c>
      <c r="L61" s="253">
        <f t="shared" si="24"/>
        <v>0</v>
      </c>
      <c r="M61" s="253">
        <f t="shared" si="24"/>
        <v>0</v>
      </c>
      <c r="N61" s="253">
        <f t="shared" si="24"/>
        <v>0</v>
      </c>
      <c r="O61" s="253">
        <f t="shared" si="24"/>
        <v>0</v>
      </c>
      <c r="P61" s="86">
        <f>IF(Revenue_Build!D24=0, IF(Revenue_Build!E24=0, IF(Revenue_Build!F24=0, IF(Revenue_Build!G24=0, 0, (Revenue_Build!H24/Revenue_Build!G24)^(1/2)-1), (Revenue_Build!H24/Revenue_Build!F24)^(1/3)-1), (Revenue_Build!H24/Revenue_Build!E24)^(1/4)-1), (Revenue_Build!H24/Revenue_Build!D24)^(1/5)-1)</f>
        <v>0</v>
      </c>
      <c r="Q61" s="126">
        <f>Hub!H37</f>
        <v>0</v>
      </c>
    </row>
    <row r="62" spans="2:17" x14ac:dyDescent="0.25">
      <c r="B62" s="10">
        <v>2</v>
      </c>
      <c r="C62" t="s">
        <v>182</v>
      </c>
      <c r="D62"/>
      <c r="E62"/>
      <c r="F62" s="253">
        <f>IF($Q62=0, Revenue_Build!$H$24*(1+$P62), Revenue_Build!$H$24*(1+$Q62))</f>
        <v>0</v>
      </c>
      <c r="G62" s="253">
        <f t="shared" ref="G62:O62" si="25">IF($Q62=0, F62*(1+$P62), F62*(1+$Q62))</f>
        <v>0</v>
      </c>
      <c r="H62" s="253">
        <f t="shared" si="25"/>
        <v>0</v>
      </c>
      <c r="I62" s="253">
        <f t="shared" si="25"/>
        <v>0</v>
      </c>
      <c r="J62" s="253">
        <f t="shared" si="25"/>
        <v>0</v>
      </c>
      <c r="K62" s="253">
        <f t="shared" si="25"/>
        <v>0</v>
      </c>
      <c r="L62" s="253">
        <f t="shared" si="25"/>
        <v>0</v>
      </c>
      <c r="M62" s="253">
        <f t="shared" si="25"/>
        <v>0</v>
      </c>
      <c r="N62" s="253">
        <f t="shared" si="25"/>
        <v>0</v>
      </c>
      <c r="O62" s="253">
        <f t="shared" si="25"/>
        <v>0</v>
      </c>
      <c r="P62" s="86">
        <f>IF(P61&gt;0, P61*SC_Manager!$J$22, IF(P61&lt;0, P61*SC_Manager!$J$23, 0))</f>
        <v>0</v>
      </c>
      <c r="Q62" s="86">
        <f>IF(Q61&gt;0, Q61*SC_Manager!$J$22, IF(Q61&lt;0, Q61*SC_Manager!$J$23, 0))</f>
        <v>0</v>
      </c>
    </row>
    <row r="63" spans="2:17" x14ac:dyDescent="0.25">
      <c r="B63" s="10">
        <v>3</v>
      </c>
      <c r="C63" t="s">
        <v>183</v>
      </c>
      <c r="D63"/>
      <c r="E63"/>
      <c r="F63" s="253">
        <f>IF($Q63=0, Revenue_Build!$H$24*(1+$P63), Revenue_Build!$H$24*(1+$Q63))</f>
        <v>0</v>
      </c>
      <c r="G63" s="253">
        <f t="shared" ref="G63:O63" si="26">IF($Q63=0, F63*(1+$P63), F63*(1+$Q63))</f>
        <v>0</v>
      </c>
      <c r="H63" s="253">
        <f t="shared" si="26"/>
        <v>0</v>
      </c>
      <c r="I63" s="253">
        <f t="shared" si="26"/>
        <v>0</v>
      </c>
      <c r="J63" s="253">
        <f t="shared" si="26"/>
        <v>0</v>
      </c>
      <c r="K63" s="253">
        <f t="shared" si="26"/>
        <v>0</v>
      </c>
      <c r="L63" s="253">
        <f t="shared" si="26"/>
        <v>0</v>
      </c>
      <c r="M63" s="253">
        <f t="shared" si="26"/>
        <v>0</v>
      </c>
      <c r="N63" s="253">
        <f t="shared" si="26"/>
        <v>0</v>
      </c>
      <c r="O63" s="253">
        <f t="shared" si="26"/>
        <v>0</v>
      </c>
      <c r="P63" s="86">
        <f>IF(P61&gt;0, P61*SC_Manager!$K$22, IF(P61&lt;0, P61*SC_Manager!$K$23, 0))</f>
        <v>0</v>
      </c>
      <c r="Q63" s="86">
        <f>IF(Q61&gt;0, Q61*SC_Manager!$K$22, IF(Q61&lt;0, Q61*SC_Manager!$K$23, 0))</f>
        <v>0</v>
      </c>
    </row>
    <row r="64" spans="2:17" x14ac:dyDescent="0.25">
      <c r="F64" s="241"/>
      <c r="G64" s="241"/>
      <c r="H64" s="241"/>
      <c r="I64" s="241"/>
      <c r="J64" s="241"/>
      <c r="K64" s="241"/>
      <c r="L64" s="241"/>
      <c r="M64" s="241"/>
      <c r="N64" s="241"/>
      <c r="O64" s="241"/>
      <c r="Q64" s="87"/>
    </row>
    <row r="65" spans="2:17" x14ac:dyDescent="0.25">
      <c r="B65" s="62" t="str">
        <f>IF(ISBLANK(Hub!H15), Revenue_Build!C27, Hub!H15)</f>
        <v>Division 8 Revenue</v>
      </c>
      <c r="C65" s="63"/>
      <c r="D65" s="64"/>
      <c r="E65" s="65" t="s">
        <v>168</v>
      </c>
      <c r="F65" s="254" t="s">
        <v>168</v>
      </c>
      <c r="G65" s="254" t="s">
        <v>168</v>
      </c>
      <c r="H65" s="254" t="s">
        <v>168</v>
      </c>
      <c r="I65" s="254" t="s">
        <v>168</v>
      </c>
      <c r="J65" s="254" t="s">
        <v>168</v>
      </c>
      <c r="K65" s="254"/>
      <c r="L65" s="254"/>
      <c r="M65" s="254"/>
      <c r="N65" s="254"/>
      <c r="O65" s="254"/>
      <c r="P65" s="65" t="s">
        <v>168</v>
      </c>
      <c r="Q65" s="65" t="s">
        <v>168</v>
      </c>
    </row>
    <row r="66" spans="2:17" x14ac:dyDescent="0.25">
      <c r="B66" s="78"/>
      <c r="C66" s="79"/>
      <c r="D66"/>
      <c r="E66"/>
      <c r="F66" s="234"/>
      <c r="G66" s="234"/>
      <c r="H66" s="234"/>
      <c r="I66" s="234"/>
      <c r="J66" s="234"/>
      <c r="K66" s="234"/>
      <c r="L66" s="234"/>
      <c r="M66" s="234"/>
      <c r="N66" s="234"/>
      <c r="O66" s="234"/>
      <c r="P66" s="66"/>
      <c r="Q66" s="87"/>
    </row>
    <row r="67" spans="2:17" x14ac:dyDescent="0.25">
      <c r="B67" s="80"/>
      <c r="C67" s="81" t="s">
        <v>201</v>
      </c>
      <c r="D67" s="82" t="str">
        <f>SC_Manager!G55</f>
        <v>Base</v>
      </c>
      <c r="E67" s="83" t="s">
        <v>168</v>
      </c>
      <c r="F67" s="251" cm="1">
        <f t="array" ref="F67">INDEX(F69:F71,MATCH($D67,$C69:$C71,0),0)</f>
        <v>0</v>
      </c>
      <c r="G67" s="251" cm="1">
        <f t="array" ref="G67">INDEX(G69:G71,MATCH($D67,$C69:$C71,0),0)</f>
        <v>0</v>
      </c>
      <c r="H67" s="251" cm="1">
        <f t="array" ref="H67">INDEX(H69:H71,MATCH($D67,$C69:$C71,0),0)</f>
        <v>0</v>
      </c>
      <c r="I67" s="251" cm="1">
        <f t="array" ref="I67">INDEX(I69:I71,MATCH($D67,$C69:$C71,0),0)</f>
        <v>0</v>
      </c>
      <c r="J67" s="251" cm="1">
        <f t="array" ref="J67">INDEX(J69:J71,MATCH($D67,$C69:$C71,0),0)</f>
        <v>0</v>
      </c>
      <c r="K67" s="251" cm="1">
        <f t="array" ref="K67">INDEX(K69:K71,MATCH($D67,$C69:$C71,0),0)</f>
        <v>0</v>
      </c>
      <c r="L67" s="251" cm="1">
        <f t="array" ref="L67">INDEX(L69:L71,MATCH($D67,$C69:$C71,0),0)</f>
        <v>0</v>
      </c>
      <c r="M67" s="251" cm="1">
        <f t="array" ref="M67">INDEX(M69:M71,MATCH($D67,$C69:$C71,0),0)</f>
        <v>0</v>
      </c>
      <c r="N67" s="251" cm="1">
        <f t="array" ref="N67">INDEX(N69:N71,MATCH($D67,$C69:$C71,0),0)</f>
        <v>0</v>
      </c>
      <c r="O67" s="251" cm="1">
        <f t="array" ref="O67">INDEX(O69:O71,MATCH($D67,$C69:$C71,0),0)</f>
        <v>0</v>
      </c>
      <c r="P67" s="84"/>
      <c r="Q67" s="87"/>
    </row>
    <row r="68" spans="2:17" x14ac:dyDescent="0.25">
      <c r="B68" s="10"/>
      <c r="C68"/>
      <c r="D68"/>
      <c r="E68"/>
      <c r="F68" s="234"/>
      <c r="G68" s="252"/>
      <c r="H68" s="252"/>
      <c r="I68" s="252"/>
      <c r="J68" s="252"/>
      <c r="K68" s="252"/>
      <c r="L68" s="252"/>
      <c r="M68" s="252"/>
      <c r="N68" s="252"/>
      <c r="O68" s="252"/>
      <c r="P68" s="66" t="s">
        <v>202</v>
      </c>
      <c r="Q68" s="87" t="s">
        <v>203</v>
      </c>
    </row>
    <row r="69" spans="2:17" x14ac:dyDescent="0.25">
      <c r="B69" s="10">
        <v>1</v>
      </c>
      <c r="C69" t="s">
        <v>181</v>
      </c>
      <c r="D69"/>
      <c r="E69"/>
      <c r="F69" s="253">
        <f>IF($Q69=0, Revenue_Build!$H$27*(1+$P69), Revenue_Build!$H$27*(1+$Q69))</f>
        <v>0</v>
      </c>
      <c r="G69" s="253">
        <f>IF($Q69=0, F69*(1+$P69), F69*(1+$Q69))</f>
        <v>0</v>
      </c>
      <c r="H69" s="253">
        <f t="shared" ref="H69:O69" si="27">IF($Q69=0, G69*(1+$P69), G69*(1+$Q69))</f>
        <v>0</v>
      </c>
      <c r="I69" s="253">
        <f t="shared" si="27"/>
        <v>0</v>
      </c>
      <c r="J69" s="253">
        <f t="shared" si="27"/>
        <v>0</v>
      </c>
      <c r="K69" s="253">
        <f t="shared" si="27"/>
        <v>0</v>
      </c>
      <c r="L69" s="253">
        <f t="shared" si="27"/>
        <v>0</v>
      </c>
      <c r="M69" s="253">
        <f t="shared" si="27"/>
        <v>0</v>
      </c>
      <c r="N69" s="253">
        <f t="shared" si="27"/>
        <v>0</v>
      </c>
      <c r="O69" s="253">
        <f t="shared" si="27"/>
        <v>0</v>
      </c>
      <c r="P69" s="86">
        <f>IF(Revenue_Build!D27=0, IF(Revenue_Build!E27=0, IF(Revenue_Build!F27=0, IF(Revenue_Build!G27=0, 0, (Revenue_Build!H27/Revenue_Build!G27)^(1/2)-1), (Revenue_Build!H27/Revenue_Build!F27)^(1/3)-1), (Revenue_Build!H27/Revenue_Build!E27)^(1/4)-1), (Revenue_Build!H27/Revenue_Build!D27)^(1/5)-1)</f>
        <v>0</v>
      </c>
      <c r="Q69" s="126">
        <f>Hub!H38</f>
        <v>0</v>
      </c>
    </row>
    <row r="70" spans="2:17" x14ac:dyDescent="0.25">
      <c r="B70" s="10">
        <v>2</v>
      </c>
      <c r="C70" t="s">
        <v>182</v>
      </c>
      <c r="D70"/>
      <c r="E70"/>
      <c r="F70" s="253">
        <f>IF($Q70=0, Revenue_Build!$H$27*(1+$P70), Revenue_Build!$H$27*(1+$Q70))</f>
        <v>0</v>
      </c>
      <c r="G70" s="253">
        <f t="shared" ref="G70:O70" si="28">IF($Q70=0, F70*(1+$P70), F70*(1+$Q70))</f>
        <v>0</v>
      </c>
      <c r="H70" s="253">
        <f t="shared" si="28"/>
        <v>0</v>
      </c>
      <c r="I70" s="253">
        <f t="shared" si="28"/>
        <v>0</v>
      </c>
      <c r="J70" s="253">
        <f t="shared" si="28"/>
        <v>0</v>
      </c>
      <c r="K70" s="253">
        <f t="shared" si="28"/>
        <v>0</v>
      </c>
      <c r="L70" s="253">
        <f t="shared" si="28"/>
        <v>0</v>
      </c>
      <c r="M70" s="253">
        <f t="shared" si="28"/>
        <v>0</v>
      </c>
      <c r="N70" s="253">
        <f t="shared" si="28"/>
        <v>0</v>
      </c>
      <c r="O70" s="253">
        <f t="shared" si="28"/>
        <v>0</v>
      </c>
      <c r="P70" s="86">
        <f>IF(P69&gt;0, P69*SC_Manager!$J$22, IF(P69&lt;0, P69*SC_Manager!$J$23, 0))</f>
        <v>0</v>
      </c>
      <c r="Q70" s="86">
        <f>IF(Q69&gt;0, Q69*SC_Manager!$J$22, IF(Q69&lt;0, Q69*SC_Manager!$J$23, 0))</f>
        <v>0</v>
      </c>
    </row>
    <row r="71" spans="2:17" x14ac:dyDescent="0.25">
      <c r="B71" s="10">
        <v>3</v>
      </c>
      <c r="C71" t="s">
        <v>183</v>
      </c>
      <c r="D71"/>
      <c r="E71"/>
      <c r="F71" s="253">
        <f>IF($Q71=0, Revenue_Build!$H$27*(1+$P71), Revenue_Build!$H$27*(1+$Q71))</f>
        <v>0</v>
      </c>
      <c r="G71" s="253">
        <f t="shared" ref="G71:O71" si="29">IF($Q71=0, F71*(1+$P71), F71*(1+$Q71))</f>
        <v>0</v>
      </c>
      <c r="H71" s="253">
        <f t="shared" si="29"/>
        <v>0</v>
      </c>
      <c r="I71" s="253">
        <f t="shared" si="29"/>
        <v>0</v>
      </c>
      <c r="J71" s="253">
        <f t="shared" si="29"/>
        <v>0</v>
      </c>
      <c r="K71" s="253">
        <f t="shared" si="29"/>
        <v>0</v>
      </c>
      <c r="L71" s="253">
        <f t="shared" si="29"/>
        <v>0</v>
      </c>
      <c r="M71" s="253">
        <f t="shared" si="29"/>
        <v>0</v>
      </c>
      <c r="N71" s="253">
        <f t="shared" si="29"/>
        <v>0</v>
      </c>
      <c r="O71" s="253">
        <f t="shared" si="29"/>
        <v>0</v>
      </c>
      <c r="P71" s="86">
        <f>IF(P69&gt;0, P69*SC_Manager!$K$22, IF(P69&lt;0, P69*SC_Manager!$K$23, 0))</f>
        <v>0</v>
      </c>
      <c r="Q71" s="86">
        <f>IF(Q69&gt;0, Q69*SC_Manager!$K$22, IF(Q69&lt;0, Q69*SC_Manager!$K$23, 0))</f>
        <v>0</v>
      </c>
    </row>
    <row r="72" spans="2:17" x14ac:dyDescent="0.25">
      <c r="F72" s="241"/>
      <c r="G72" s="241"/>
      <c r="H72" s="241"/>
      <c r="I72" s="241"/>
      <c r="J72" s="241"/>
      <c r="K72" s="241"/>
      <c r="L72" s="241"/>
      <c r="M72" s="241"/>
      <c r="N72" s="241"/>
      <c r="O72" s="241"/>
      <c r="Q72" s="87"/>
    </row>
    <row r="73" spans="2:17" x14ac:dyDescent="0.25">
      <c r="B73" s="62" t="str">
        <f>IF(ISBLANK(Hub!H16), Revenue_Build!C30, Hub!H16)</f>
        <v>Division 9 Revenue</v>
      </c>
      <c r="C73" s="63"/>
      <c r="D73" s="64"/>
      <c r="E73" s="65" t="s">
        <v>168</v>
      </c>
      <c r="F73" s="254" t="s">
        <v>168</v>
      </c>
      <c r="G73" s="254" t="s">
        <v>168</v>
      </c>
      <c r="H73" s="254" t="s">
        <v>168</v>
      </c>
      <c r="I73" s="254" t="s">
        <v>168</v>
      </c>
      <c r="J73" s="254" t="s">
        <v>168</v>
      </c>
      <c r="K73" s="254"/>
      <c r="L73" s="254"/>
      <c r="M73" s="254"/>
      <c r="N73" s="254"/>
      <c r="O73" s="254"/>
      <c r="P73" s="65" t="s">
        <v>168</v>
      </c>
      <c r="Q73" s="65" t="s">
        <v>168</v>
      </c>
    </row>
    <row r="74" spans="2:17" x14ac:dyDescent="0.25">
      <c r="B74" s="78"/>
      <c r="C74" s="79"/>
      <c r="D74"/>
      <c r="E74"/>
      <c r="F74" s="234"/>
      <c r="G74" s="234"/>
      <c r="H74" s="234"/>
      <c r="I74" s="234"/>
      <c r="J74" s="234"/>
      <c r="K74" s="234"/>
      <c r="L74" s="234"/>
      <c r="M74" s="234"/>
      <c r="N74" s="234"/>
      <c r="O74" s="234"/>
      <c r="P74" s="66"/>
      <c r="Q74" s="87"/>
    </row>
    <row r="75" spans="2:17" x14ac:dyDescent="0.25">
      <c r="B75" s="80"/>
      <c r="C75" s="81" t="s">
        <v>201</v>
      </c>
      <c r="D75" s="82" t="str">
        <f>SC_Manager!G59</f>
        <v>Base</v>
      </c>
      <c r="E75" s="83" t="s">
        <v>168</v>
      </c>
      <c r="F75" s="251" cm="1">
        <f t="array" ref="F75">INDEX(F77:F79,MATCH($D75,$C77:$C79,0),0)</f>
        <v>0</v>
      </c>
      <c r="G75" s="251" cm="1">
        <f t="array" ref="G75">INDEX(G77:G79,MATCH($D75,$C77:$C79,0),0)</f>
        <v>0</v>
      </c>
      <c r="H75" s="251" cm="1">
        <f t="array" ref="H75">INDEX(H77:H79,MATCH($D75,$C77:$C79,0),0)</f>
        <v>0</v>
      </c>
      <c r="I75" s="251" cm="1">
        <f t="array" ref="I75">INDEX(I77:I79,MATCH($D75,$C77:$C79,0),0)</f>
        <v>0</v>
      </c>
      <c r="J75" s="251" cm="1">
        <f t="array" ref="J75">INDEX(J77:J79,MATCH($D75,$C77:$C79,0),0)</f>
        <v>0</v>
      </c>
      <c r="K75" s="251" cm="1">
        <f t="array" ref="K75">INDEX(K77:K79,MATCH($D75,$C77:$C79,0),0)</f>
        <v>0</v>
      </c>
      <c r="L75" s="251" cm="1">
        <f t="array" ref="L75">INDEX(L77:L79,MATCH($D75,$C77:$C79,0),0)</f>
        <v>0</v>
      </c>
      <c r="M75" s="251" cm="1">
        <f t="array" ref="M75">INDEX(M77:M79,MATCH($D75,$C77:$C79,0),0)</f>
        <v>0</v>
      </c>
      <c r="N75" s="251" cm="1">
        <f t="array" ref="N75">INDEX(N77:N79,MATCH($D75,$C77:$C79,0),0)</f>
        <v>0</v>
      </c>
      <c r="O75" s="251" cm="1">
        <f t="array" ref="O75">INDEX(O77:O79,MATCH($D75,$C77:$C79,0),0)</f>
        <v>0</v>
      </c>
      <c r="P75" s="84"/>
      <c r="Q75" s="87"/>
    </row>
    <row r="76" spans="2:17" x14ac:dyDescent="0.25">
      <c r="B76" s="10"/>
      <c r="C76"/>
      <c r="D76"/>
      <c r="E76"/>
      <c r="F76" s="234"/>
      <c r="G76" s="252"/>
      <c r="H76" s="252"/>
      <c r="I76" s="252"/>
      <c r="J76" s="252"/>
      <c r="K76" s="252"/>
      <c r="L76" s="252"/>
      <c r="M76" s="252"/>
      <c r="N76" s="252"/>
      <c r="O76" s="252"/>
      <c r="P76" s="66" t="s">
        <v>202</v>
      </c>
      <c r="Q76" s="87" t="s">
        <v>203</v>
      </c>
    </row>
    <row r="77" spans="2:17" x14ac:dyDescent="0.25">
      <c r="B77" s="10">
        <v>1</v>
      </c>
      <c r="C77" t="s">
        <v>181</v>
      </c>
      <c r="D77"/>
      <c r="E77"/>
      <c r="F77" s="253">
        <f>IF($Q77=0, Revenue_Build!$H$30*(1+$P77), Revenue_Build!$H$30*(1+$Q77))</f>
        <v>0</v>
      </c>
      <c r="G77" s="253">
        <f>IF($Q77=0, F77*(1+$P77), F77*(1+$Q77))</f>
        <v>0</v>
      </c>
      <c r="H77" s="253">
        <f t="shared" ref="H77:O77" si="30">IF($Q77=0, G77*(1+$P77), G77*(1+$Q77))</f>
        <v>0</v>
      </c>
      <c r="I77" s="253">
        <f t="shared" si="30"/>
        <v>0</v>
      </c>
      <c r="J77" s="253">
        <f t="shared" si="30"/>
        <v>0</v>
      </c>
      <c r="K77" s="253">
        <f t="shared" si="30"/>
        <v>0</v>
      </c>
      <c r="L77" s="253">
        <f t="shared" si="30"/>
        <v>0</v>
      </c>
      <c r="M77" s="253">
        <f t="shared" si="30"/>
        <v>0</v>
      </c>
      <c r="N77" s="253">
        <f t="shared" si="30"/>
        <v>0</v>
      </c>
      <c r="O77" s="253">
        <f t="shared" si="30"/>
        <v>0</v>
      </c>
      <c r="P77" s="86">
        <f>IF(Revenue_Build!D30=0, IF(Revenue_Build!E30=0, IF(Revenue_Build!F30=0, IF(Revenue_Build!G30=0, 0, (Revenue_Build!H30/Revenue_Build!G30)^(1/2)-1), (Revenue_Build!H30/Revenue_Build!F30)^(1/3)-1), (Revenue_Build!H30/Revenue_Build!E30)^(1/4)-1), (Revenue_Build!H30/Revenue_Build!D30)^(1/5)-1)</f>
        <v>0</v>
      </c>
      <c r="Q77" s="126">
        <f>Hub!H39</f>
        <v>0</v>
      </c>
    </row>
    <row r="78" spans="2:17" x14ac:dyDescent="0.25">
      <c r="B78" s="10">
        <v>2</v>
      </c>
      <c r="C78" t="s">
        <v>182</v>
      </c>
      <c r="D78"/>
      <c r="E78"/>
      <c r="F78" s="253">
        <f>IF($Q78=0, Revenue_Build!$H$30*(1+$P78), Revenue_Build!$H$30*(1+$Q78))</f>
        <v>0</v>
      </c>
      <c r="G78" s="253">
        <f t="shared" ref="G78:O78" si="31">IF($Q78=0, F78*(1+$P78), F78*(1+$Q78))</f>
        <v>0</v>
      </c>
      <c r="H78" s="253">
        <f t="shared" si="31"/>
        <v>0</v>
      </c>
      <c r="I78" s="253">
        <f t="shared" si="31"/>
        <v>0</v>
      </c>
      <c r="J78" s="253">
        <f t="shared" si="31"/>
        <v>0</v>
      </c>
      <c r="K78" s="253">
        <f t="shared" si="31"/>
        <v>0</v>
      </c>
      <c r="L78" s="253">
        <f t="shared" si="31"/>
        <v>0</v>
      </c>
      <c r="M78" s="253">
        <f t="shared" si="31"/>
        <v>0</v>
      </c>
      <c r="N78" s="253">
        <f t="shared" si="31"/>
        <v>0</v>
      </c>
      <c r="O78" s="253">
        <f t="shared" si="31"/>
        <v>0</v>
      </c>
      <c r="P78" s="86">
        <f>IF(P77&gt;0, P77*SC_Manager!$J$22, IF(P77&lt;0, P77*SC_Manager!$J$23, 0))</f>
        <v>0</v>
      </c>
      <c r="Q78" s="86">
        <f>IF(Q77&gt;0, Q77*SC_Manager!$J$22, IF(Q77&lt;0, Q77*SC_Manager!$J$23, 0))</f>
        <v>0</v>
      </c>
    </row>
    <row r="79" spans="2:17" x14ac:dyDescent="0.25">
      <c r="B79" s="10">
        <v>3</v>
      </c>
      <c r="C79" t="s">
        <v>183</v>
      </c>
      <c r="D79"/>
      <c r="E79"/>
      <c r="F79" s="253">
        <f>IF($Q79=0, Revenue_Build!$H$30*(1+$P79), Revenue_Build!$H$30*(1+$Q79))</f>
        <v>0</v>
      </c>
      <c r="G79" s="253">
        <f t="shared" ref="G79:O79" si="32">IF($Q79=0, F79*(1+$P79), F79*(1+$Q79))</f>
        <v>0</v>
      </c>
      <c r="H79" s="253">
        <f t="shared" si="32"/>
        <v>0</v>
      </c>
      <c r="I79" s="253">
        <f t="shared" si="32"/>
        <v>0</v>
      </c>
      <c r="J79" s="253">
        <f t="shared" si="32"/>
        <v>0</v>
      </c>
      <c r="K79" s="253">
        <f t="shared" si="32"/>
        <v>0</v>
      </c>
      <c r="L79" s="253">
        <f t="shared" si="32"/>
        <v>0</v>
      </c>
      <c r="M79" s="253">
        <f t="shared" si="32"/>
        <v>0</v>
      </c>
      <c r="N79" s="253">
        <f t="shared" si="32"/>
        <v>0</v>
      </c>
      <c r="O79" s="253">
        <f t="shared" si="32"/>
        <v>0</v>
      </c>
      <c r="P79" s="86">
        <f>IF(P77&gt;0, P77*SC_Manager!$K$22, IF(P77&lt;0, P77*SC_Manager!$K$23, 0))</f>
        <v>0</v>
      </c>
      <c r="Q79" s="86">
        <f>IF(Q77&gt;0, Q77*SC_Manager!$K$22, IF(Q77&lt;0, Q77*SC_Manager!$K$23, 0))</f>
        <v>0</v>
      </c>
    </row>
    <row r="80" spans="2:17" x14ac:dyDescent="0.25">
      <c r="F80" s="241"/>
      <c r="G80" s="241"/>
      <c r="H80" s="241"/>
      <c r="I80" s="241"/>
      <c r="J80" s="241"/>
      <c r="K80" s="241"/>
      <c r="L80" s="241"/>
      <c r="M80" s="241"/>
      <c r="N80" s="241"/>
      <c r="O80" s="241"/>
      <c r="Q80" s="87"/>
    </row>
    <row r="81" spans="2:17" x14ac:dyDescent="0.25">
      <c r="B81" s="62" t="str">
        <f>IF(ISBLANK(Hub!H17), Revenue_Build!C33, Hub!H17)</f>
        <v>Division 10 Revenue</v>
      </c>
      <c r="C81" s="63"/>
      <c r="D81" s="64"/>
      <c r="E81" s="65" t="s">
        <v>168</v>
      </c>
      <c r="F81" s="254" t="s">
        <v>168</v>
      </c>
      <c r="G81" s="254" t="s">
        <v>168</v>
      </c>
      <c r="H81" s="254" t="s">
        <v>168</v>
      </c>
      <c r="I81" s="254" t="s">
        <v>168</v>
      </c>
      <c r="J81" s="254" t="s">
        <v>168</v>
      </c>
      <c r="K81" s="254"/>
      <c r="L81" s="254"/>
      <c r="M81" s="254"/>
      <c r="N81" s="254"/>
      <c r="O81" s="254"/>
      <c r="P81" s="65" t="s">
        <v>168</v>
      </c>
      <c r="Q81" s="65" t="s">
        <v>168</v>
      </c>
    </row>
    <row r="82" spans="2:17" x14ac:dyDescent="0.25">
      <c r="B82" s="78"/>
      <c r="C82" s="79"/>
      <c r="D82"/>
      <c r="E82"/>
      <c r="F82" s="234"/>
      <c r="G82" s="234"/>
      <c r="H82" s="234"/>
      <c r="I82" s="234"/>
      <c r="J82" s="234"/>
      <c r="K82" s="234"/>
      <c r="L82" s="234"/>
      <c r="M82" s="234"/>
      <c r="N82" s="234"/>
      <c r="O82" s="234"/>
      <c r="P82" s="66"/>
      <c r="Q82" s="87"/>
    </row>
    <row r="83" spans="2:17" x14ac:dyDescent="0.25">
      <c r="B83" s="80"/>
      <c r="C83" s="81" t="s">
        <v>201</v>
      </c>
      <c r="D83" s="82" t="str">
        <f>SC_Manager!G63</f>
        <v>Base</v>
      </c>
      <c r="E83" s="83" t="s">
        <v>168</v>
      </c>
      <c r="F83" s="251" cm="1">
        <f t="array" ref="F83">INDEX(F85:F87,MATCH($D83,$C85:$C87,0),0)</f>
        <v>0</v>
      </c>
      <c r="G83" s="251" cm="1">
        <f t="array" ref="G83">INDEX(G85:G87,MATCH($D83,$C85:$C87,0),0)</f>
        <v>0</v>
      </c>
      <c r="H83" s="251" cm="1">
        <f t="array" ref="H83">INDEX(H85:H87,MATCH($D83,$C85:$C87,0),0)</f>
        <v>0</v>
      </c>
      <c r="I83" s="251" cm="1">
        <f t="array" ref="I83">INDEX(I85:I87,MATCH($D83,$C85:$C87,0),0)</f>
        <v>0</v>
      </c>
      <c r="J83" s="251" cm="1">
        <f t="array" ref="J83">INDEX(J85:J87,MATCH($D83,$C85:$C87,0),0)</f>
        <v>0</v>
      </c>
      <c r="K83" s="251" cm="1">
        <f t="array" ref="K83">INDEX(K85:K87,MATCH($D83,$C85:$C87,0),0)</f>
        <v>0</v>
      </c>
      <c r="L83" s="251" cm="1">
        <f t="array" ref="L83">INDEX(L85:L87,MATCH($D83,$C85:$C87,0),0)</f>
        <v>0</v>
      </c>
      <c r="M83" s="251" cm="1">
        <f t="array" ref="M83">INDEX(M85:M87,MATCH($D83,$C85:$C87,0),0)</f>
        <v>0</v>
      </c>
      <c r="N83" s="251" cm="1">
        <f t="array" ref="N83">INDEX(N85:N87,MATCH($D83,$C85:$C87,0),0)</f>
        <v>0</v>
      </c>
      <c r="O83" s="251" cm="1">
        <f t="array" ref="O83">INDEX(O85:O87,MATCH($D83,$C85:$C87,0),0)</f>
        <v>0</v>
      </c>
      <c r="P83" s="84"/>
      <c r="Q83" s="87"/>
    </row>
    <row r="84" spans="2:17" x14ac:dyDescent="0.25">
      <c r="B84" s="10"/>
      <c r="C84"/>
      <c r="D84"/>
      <c r="E84"/>
      <c r="F84" s="234"/>
      <c r="G84" s="252"/>
      <c r="H84" s="252"/>
      <c r="I84" s="252"/>
      <c r="J84" s="252"/>
      <c r="K84" s="252"/>
      <c r="L84" s="252"/>
      <c r="M84" s="252"/>
      <c r="N84" s="252"/>
      <c r="O84" s="252"/>
      <c r="P84" s="66" t="s">
        <v>202</v>
      </c>
      <c r="Q84" s="87" t="s">
        <v>203</v>
      </c>
    </row>
    <row r="85" spans="2:17" x14ac:dyDescent="0.25">
      <c r="B85" s="10">
        <v>1</v>
      </c>
      <c r="C85" t="s">
        <v>181</v>
      </c>
      <c r="D85"/>
      <c r="E85"/>
      <c r="F85" s="253">
        <f>IF($Q85=0, Revenue_Build!$H$33*(1+$P85), Revenue_Build!$H$33*(1+$Q85))</f>
        <v>0</v>
      </c>
      <c r="G85" s="253">
        <f>IF($Q85=0, F85*(1+$P85), F85*(1+$Q85))</f>
        <v>0</v>
      </c>
      <c r="H85" s="253">
        <f t="shared" ref="H85:O85" si="33">IF($Q85=0, G85*(1+$P85), G85*(1+$Q85))</f>
        <v>0</v>
      </c>
      <c r="I85" s="253">
        <f t="shared" si="33"/>
        <v>0</v>
      </c>
      <c r="J85" s="253">
        <f t="shared" si="33"/>
        <v>0</v>
      </c>
      <c r="K85" s="253">
        <f t="shared" si="33"/>
        <v>0</v>
      </c>
      <c r="L85" s="253">
        <f t="shared" si="33"/>
        <v>0</v>
      </c>
      <c r="M85" s="253">
        <f>IF($Q85=0, L85*(1+$P85), L85*(1+$Q85))</f>
        <v>0</v>
      </c>
      <c r="N85" s="253">
        <f t="shared" si="33"/>
        <v>0</v>
      </c>
      <c r="O85" s="253">
        <f t="shared" si="33"/>
        <v>0</v>
      </c>
      <c r="P85" s="86">
        <f>IF(Revenue_Build!D33=0, IF(Revenue_Build!E33=0, IF(Revenue_Build!F33=0, IF(Revenue_Build!G33=0, 0, (Revenue_Build!H33/Revenue_Build!G33)^(1/2)-1), (Revenue_Build!H33/Revenue_Build!F33)^(1/3)-1), (Revenue_Build!H33/Revenue_Build!E33)^(1/4)-1), (Revenue_Build!H33/Revenue_Build!D33)^(1/5)-1)</f>
        <v>0</v>
      </c>
      <c r="Q85" s="126">
        <f>Hub!H40</f>
        <v>0</v>
      </c>
    </row>
    <row r="86" spans="2:17" x14ac:dyDescent="0.25">
      <c r="B86" s="10">
        <v>2</v>
      </c>
      <c r="C86" t="s">
        <v>182</v>
      </c>
      <c r="D86"/>
      <c r="E86"/>
      <c r="F86" s="253">
        <f>IF($Q86=0, Revenue_Build!$H$33*(1+$P86), Revenue_Build!$H$33*(1+$Q86))</f>
        <v>0</v>
      </c>
      <c r="G86" s="253">
        <f t="shared" ref="G86:O86" si="34">IF($Q86=0, F86*(1+$P86), F86*(1+$Q86))</f>
        <v>0</v>
      </c>
      <c r="H86" s="253">
        <f t="shared" si="34"/>
        <v>0</v>
      </c>
      <c r="I86" s="253">
        <f t="shared" si="34"/>
        <v>0</v>
      </c>
      <c r="J86" s="253">
        <f t="shared" si="34"/>
        <v>0</v>
      </c>
      <c r="K86" s="253">
        <f t="shared" si="34"/>
        <v>0</v>
      </c>
      <c r="L86" s="253">
        <f t="shared" si="34"/>
        <v>0</v>
      </c>
      <c r="M86" s="253">
        <f t="shared" si="34"/>
        <v>0</v>
      </c>
      <c r="N86" s="253">
        <f t="shared" si="34"/>
        <v>0</v>
      </c>
      <c r="O86" s="253">
        <f t="shared" si="34"/>
        <v>0</v>
      </c>
      <c r="P86" s="86">
        <f>IF(P85&gt;0, P85*SC_Manager!$J$22, IF(P85&lt;0, P85*SC_Manager!$J$23, 0))</f>
        <v>0</v>
      </c>
      <c r="Q86" s="86">
        <f>IF(Q85&gt;0, Q85*SC_Manager!$J$22, IF(Q85&lt;0, Q85*SC_Manager!$J$23, 0))</f>
        <v>0</v>
      </c>
    </row>
    <row r="87" spans="2:17" x14ac:dyDescent="0.25">
      <c r="B87" s="10">
        <v>3</v>
      </c>
      <c r="C87" t="s">
        <v>183</v>
      </c>
      <c r="D87"/>
      <c r="E87"/>
      <c r="F87" s="253">
        <f>IF($Q87=0, Revenue_Build!$H$33*(1+$P87), Revenue_Build!$H$33*(1+$Q87))</f>
        <v>0</v>
      </c>
      <c r="G87" s="253">
        <f t="shared" ref="G87:O87" si="35">IF($Q87=0, F87*(1+$P87), F87*(1+$Q87))</f>
        <v>0</v>
      </c>
      <c r="H87" s="253">
        <f t="shared" si="35"/>
        <v>0</v>
      </c>
      <c r="I87" s="253">
        <f t="shared" si="35"/>
        <v>0</v>
      </c>
      <c r="J87" s="253">
        <f t="shared" si="35"/>
        <v>0</v>
      </c>
      <c r="K87" s="253">
        <f t="shared" si="35"/>
        <v>0</v>
      </c>
      <c r="L87" s="253">
        <f t="shared" si="35"/>
        <v>0</v>
      </c>
      <c r="M87" s="253">
        <f>IF($Q87=0, L87*(1+$P87), L87*(1+$Q87))</f>
        <v>0</v>
      </c>
      <c r="N87" s="253">
        <f t="shared" si="35"/>
        <v>0</v>
      </c>
      <c r="O87" s="253">
        <f t="shared" si="35"/>
        <v>0</v>
      </c>
      <c r="P87" s="86">
        <f>IF(P85&gt;0, P85*SC_Manager!$K$22, IF(P85&lt;0, P85*SC_Manager!$K$23, 0))</f>
        <v>0</v>
      </c>
      <c r="Q87" s="86">
        <f>IF(Q85&gt;0, Q85*SC_Manager!$K$22, IF(Q85&lt;0, Q85*SC_Manager!$K$23, 0))</f>
        <v>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344" r:id="rId3" name="Button 152">
              <controlPr defaultSize="0" print="0" autoFill="0" autoPict="0" macro="[0]!BacktoHub">
                <anchor moveWithCells="1" sizeWithCells="1">
                  <from>
                    <xdr:col>15</xdr:col>
                    <xdr:colOff>276225</xdr:colOff>
                    <xdr:row>1</xdr:row>
                    <xdr:rowOff>19050</xdr:rowOff>
                  </from>
                  <to>
                    <xdr:col>17</xdr:col>
                    <xdr:colOff>323850</xdr:colOff>
                    <xdr:row>3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7A2485-5797-4BBF-8BE3-7EF2A1A8AA0C}">
  <sheetPr codeName="Sheet10">
    <tabColor rgb="FF0070C0"/>
  </sheetPr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7C35DF-A8FA-4EDC-866E-21EC809CC90C}">
  <sheetPr codeName="Sheet11"/>
  <dimension ref="A2:U100"/>
  <sheetViews>
    <sheetView topLeftCell="B1" zoomScale="104" workbookViewId="0">
      <selection activeCell="C41" sqref="C41"/>
    </sheetView>
  </sheetViews>
  <sheetFormatPr defaultRowHeight="15" x14ac:dyDescent="0.25"/>
  <cols>
    <col min="1" max="1" width="8.85546875" style="71"/>
    <col min="2" max="2" width="9.140625" style="71"/>
    <col min="3" max="3" width="37.5703125" style="71" customWidth="1"/>
    <col min="4" max="4" width="12" style="71" customWidth="1"/>
    <col min="5" max="8" width="12" style="71" bestFit="1" customWidth="1"/>
    <col min="9" max="9" width="11.5703125" bestFit="1" customWidth="1"/>
    <col min="10" max="18" width="11.7109375" bestFit="1" customWidth="1"/>
  </cols>
  <sheetData>
    <row r="2" spans="2:21" x14ac:dyDescent="0.25">
      <c r="C2" s="89" t="str">
        <f>"In Millions of " &amp; Hub!D8</f>
        <v>In Millions of USD</v>
      </c>
      <c r="D2" s="361" t="s">
        <v>80</v>
      </c>
      <c r="E2" s="361"/>
      <c r="F2" s="361"/>
      <c r="G2" s="361"/>
      <c r="H2" s="361"/>
      <c r="I2" s="363" t="s">
        <v>81</v>
      </c>
      <c r="J2" s="364"/>
      <c r="K2" s="364"/>
      <c r="L2" s="364"/>
      <c r="M2" s="364"/>
      <c r="N2" s="364"/>
      <c r="O2" s="364"/>
      <c r="P2" s="364"/>
      <c r="Q2" s="364"/>
      <c r="R2" s="364"/>
    </row>
    <row r="3" spans="2:21" x14ac:dyDescent="0.25">
      <c r="C3" s="362" t="s">
        <v>204</v>
      </c>
      <c r="D3" s="91">
        <f t="shared" ref="D3:R3" ca="1" si="0">YEAR(D4)</f>
        <v>2019</v>
      </c>
      <c r="E3" s="91">
        <f t="shared" ca="1" si="0"/>
        <v>2020</v>
      </c>
      <c r="F3" s="91">
        <f t="shared" ca="1" si="0"/>
        <v>2021</v>
      </c>
      <c r="G3" s="91">
        <f t="shared" ca="1" si="0"/>
        <v>2022</v>
      </c>
      <c r="H3" s="91">
        <f t="shared" ca="1" si="0"/>
        <v>2023</v>
      </c>
      <c r="I3" s="98">
        <f t="shared" ca="1" si="0"/>
        <v>2024</v>
      </c>
      <c r="J3" s="98">
        <f t="shared" ca="1" si="0"/>
        <v>2025</v>
      </c>
      <c r="K3" s="98">
        <f t="shared" ca="1" si="0"/>
        <v>2026</v>
      </c>
      <c r="L3" s="98">
        <f t="shared" ca="1" si="0"/>
        <v>2027</v>
      </c>
      <c r="M3" s="98">
        <f t="shared" ca="1" si="0"/>
        <v>2028</v>
      </c>
      <c r="N3" s="98">
        <f t="shared" ca="1" si="0"/>
        <v>2029</v>
      </c>
      <c r="O3" s="98">
        <f t="shared" ca="1" si="0"/>
        <v>2030</v>
      </c>
      <c r="P3" s="98">
        <f t="shared" ca="1" si="0"/>
        <v>2031</v>
      </c>
      <c r="Q3" s="98">
        <f t="shared" ca="1" si="0"/>
        <v>2032</v>
      </c>
      <c r="R3" s="98">
        <f t="shared" ca="1" si="0"/>
        <v>2033</v>
      </c>
    </row>
    <row r="4" spans="2:21" x14ac:dyDescent="0.25">
      <c r="C4" s="362"/>
      <c r="D4" s="92">
        <f ca="1">EOMONTH(E4, -12)</f>
        <v>43830</v>
      </c>
      <c r="E4" s="92">
        <f ca="1">EOMONTH(F4, -12)</f>
        <v>44196</v>
      </c>
      <c r="F4" s="92">
        <f ca="1">EOMONTH(G4, -12)</f>
        <v>44561</v>
      </c>
      <c r="G4" s="92">
        <f ca="1">EOMONTH(H4, -12)</f>
        <v>44926</v>
      </c>
      <c r="H4" s="92">
        <f ca="1">DCF!D10</f>
        <v>45291</v>
      </c>
      <c r="I4" s="92">
        <f t="shared" ref="I4:R4" ca="1" si="1">EOMONTH(H4,12)</f>
        <v>45657</v>
      </c>
      <c r="J4" s="92">
        <f t="shared" ca="1" si="1"/>
        <v>46022</v>
      </c>
      <c r="K4" s="92">
        <f t="shared" ca="1" si="1"/>
        <v>46387</v>
      </c>
      <c r="L4" s="92">
        <f t="shared" ca="1" si="1"/>
        <v>46752</v>
      </c>
      <c r="M4" s="92">
        <f t="shared" ca="1" si="1"/>
        <v>47118</v>
      </c>
      <c r="N4" s="92">
        <f t="shared" ca="1" si="1"/>
        <v>47483</v>
      </c>
      <c r="O4" s="92">
        <f t="shared" ca="1" si="1"/>
        <v>47848</v>
      </c>
      <c r="P4" s="92">
        <f t="shared" ca="1" si="1"/>
        <v>48213</v>
      </c>
      <c r="Q4" s="92">
        <f t="shared" ca="1" si="1"/>
        <v>48579</v>
      </c>
      <c r="R4" s="92">
        <f t="shared" ca="1" si="1"/>
        <v>48944</v>
      </c>
    </row>
    <row r="5" spans="2:21" x14ac:dyDescent="0.25">
      <c r="C5" s="90"/>
      <c r="D5" s="92"/>
      <c r="E5" s="92"/>
      <c r="F5" s="92"/>
      <c r="G5" s="92"/>
      <c r="H5" s="92"/>
    </row>
    <row r="6" spans="2:21" ht="15" customHeight="1" x14ac:dyDescent="0.25">
      <c r="B6" s="140">
        <v>1</v>
      </c>
      <c r="C6" s="71" t="str" cm="1">
        <f t="array" ref="C6">IF(ISBLANK(Hub!D13), IFERROR(IF(INDEX(C$41:C$100, SMALL(IF($B$41:$B$100=1, ROW($B$41:$B$100)-ROW($B$41)+1), $B6))="#N/A N/A", "Division " &amp; $B6 &amp; " Revenue", INDEX(C$41:C$100, SMALL(IF($B$41:$B$100=1, ROW($B$41:$B$100)-ROW($B$41)+1), $B6))), "Division " &amp; B6 &amp; " Revenue"), Hub!D13 &amp; " Revenue")</f>
        <v>Casino &amp; Pari-Mutuel Commissions</v>
      </c>
      <c r="D6" s="285" cm="1">
        <f t="array" ref="D6">IFERROR(IF(INDEX(I$41:I$100, SMALL(IF($B$41:$B$100=1, ROW($B$41:$B$100)-ROW($B$41)+1), $B6))="#N/A N/A", 0, INDEX(I$41:I$100, SMALL(IF($B$41:$B$100=1, ROW($B$41:$B$100)-ROW($B$41)+1), $B6))), 0)</f>
        <v>1808</v>
      </c>
      <c r="E6" s="285" cm="1">
        <f t="array" ref="E6">IFERROR(IF(INDEX(H$41:H$100, SMALL(IF($B$41:$B$100=1, ROW($B$41:$B$100)-ROW($B$41)+1), $B6))="#N/A N/A", 0, INDEX(H$41:H$100, SMALL(IF($B$41:$B$100=1, ROW($B$41:$B$100)-ROW($B$41)+1), $B6))), 0)</f>
        <v>2482</v>
      </c>
      <c r="F6" s="285" cm="1">
        <f t="array" ref="F6">IFERROR(IF(INDEX(G$41:G$100, SMALL(IF($B$41:$B$100=1, ROW($B$41:$B$100)-ROW($B$41)+1), $B6))="#N/A N/A", 0, INDEX(G$41:G$100, SMALL(IF($B$41:$B$100=1, ROW($B$41:$B$100)-ROW($B$41)+1), $B6))), 0)</f>
        <v>5827</v>
      </c>
      <c r="G6" s="285" cm="1">
        <f t="array" ref="G6">IFERROR(IF(INDEX(F$41:F$100, SMALL(IF($B$41:$B$100=1, ROW($B$41:$B$100)-ROW($B$41)+1), $B6))="#N/A N/A", 0, INDEX(F$41:F$100, SMALL(IF($B$41:$B$100=1, ROW($B$41:$B$100)-ROW($B$41)+1), $B6))), 0)</f>
        <v>5997</v>
      </c>
      <c r="H6" s="285" cm="1">
        <f t="array" ref="H6">IFERROR(IF(INDEX(E$41:E$100, SMALL(IF($B$41:$B$100=1, ROW($B$41:$B$100)-ROW($B$41)+1), $B6))="#N/A N/A", 0, INDEX(E$41:E$100, SMALL(IF($B$41:$B$100=1, ROW($B$41:$B$100)-ROW($B$41)+1), $B6))), 0)</f>
        <v>6367</v>
      </c>
      <c r="I6" s="286">
        <f>IF(SUM(D6:H6)=0, 0, Time_Series!F11)</f>
        <v>8189.9666748176778</v>
      </c>
      <c r="J6" s="286">
        <f>IF(SUM(E6:I6)=0, 0, Time_Series!G11)</f>
        <v>10534.875786810762</v>
      </c>
      <c r="K6" s="286">
        <f>IF(SUM(F6:J6)=0, 0, Time_Series!H11)</f>
        <v>13551.167208626324</v>
      </c>
      <c r="L6" s="286">
        <f>IF(SUM(G6:K6)=0, 0, Time_Series!I11)</f>
        <v>17431.067668216067</v>
      </c>
      <c r="M6" s="286">
        <f>IF(SUM(H6:L6)=0, 0, Time_Series!J11)</f>
        <v>22421.841261061956</v>
      </c>
      <c r="N6" s="286">
        <f>IF(SUM(I6:M6)=0, 0, Time_Series!K11)</f>
        <v>28841.547466020009</v>
      </c>
      <c r="O6" s="286">
        <f>IF(SUM(J6:N6)=0, 0, Time_Series!L11)</f>
        <v>37099.310915168229</v>
      </c>
      <c r="P6" s="286">
        <f>IF(SUM(K6:O6)=0, 0, Time_Series!M11)</f>
        <v>47721.39469984726</v>
      </c>
      <c r="Q6" s="286">
        <f>IF(SUM(L6:P6)=0, 0, Time_Series!N11)</f>
        <v>61384.738851510912</v>
      </c>
      <c r="R6" s="286">
        <f>IF(SUM(M6:Q6)=0, 0, Time_Series!O11)</f>
        <v>78960.101387821633</v>
      </c>
    </row>
    <row r="7" spans="2:21" x14ac:dyDescent="0.25">
      <c r="C7" s="94" t="s">
        <v>84</v>
      </c>
      <c r="D7" s="87" t="s">
        <v>85</v>
      </c>
      <c r="E7" s="95">
        <f t="shared" ref="E7:R7" si="2">(E6-D6)/D6</f>
        <v>0.37278761061946902</v>
      </c>
      <c r="F7" s="95">
        <f t="shared" si="2"/>
        <v>1.3477034649476229</v>
      </c>
      <c r="G7" s="95">
        <f t="shared" si="2"/>
        <v>2.9174532349407929E-2</v>
      </c>
      <c r="H7" s="95">
        <f t="shared" si="2"/>
        <v>6.1697515424378853E-2</v>
      </c>
      <c r="I7" s="95">
        <f t="shared" si="2"/>
        <v>0.28631485390571348</v>
      </c>
      <c r="J7" s="95">
        <f t="shared" si="2"/>
        <v>0.28631485390571337</v>
      </c>
      <c r="K7" s="95">
        <f t="shared" si="2"/>
        <v>0.28631485390571348</v>
      </c>
      <c r="L7" s="95">
        <f t="shared" si="2"/>
        <v>0.28631485390571354</v>
      </c>
      <c r="M7" s="95">
        <f t="shared" si="2"/>
        <v>0.28631485390571354</v>
      </c>
      <c r="N7" s="95">
        <f t="shared" si="2"/>
        <v>0.28631485390571348</v>
      </c>
      <c r="O7" s="95">
        <f t="shared" si="2"/>
        <v>0.28631485390571348</v>
      </c>
      <c r="P7" s="95">
        <f t="shared" si="2"/>
        <v>0.28631485390571343</v>
      </c>
      <c r="Q7" s="95">
        <f t="shared" si="2"/>
        <v>0.28631485390571337</v>
      </c>
      <c r="R7" s="95">
        <f t="shared" si="2"/>
        <v>0.28631485390571348</v>
      </c>
      <c r="T7" s="85" t="s">
        <v>377</v>
      </c>
      <c r="U7" s="140">
        <v>1</v>
      </c>
    </row>
    <row r="9" spans="2:21" x14ac:dyDescent="0.25">
      <c r="B9" s="140">
        <v>2</v>
      </c>
      <c r="C9" s="71" t="str" cm="1">
        <f t="array" ref="C9">IF(ISBLANK(Hub!D14), IFERROR(IF(INDEX(C$41:C$100, SMALL(IF($B$41:$B$100=1, ROW($B$41:$B$100)-ROW($B$41)+1), $B9))="#N/A N/A", "Division " &amp; $B9 &amp; " Revenue", INDEX(C$41:C$100, SMALL(IF($B$41:$B$100=1, ROW($B$41:$B$100)-ROW($B$41)+1), $B9))), "Division " &amp; B9 &amp; " Revenue"), Hub!D14 &amp; " Revenue")</f>
        <v>Hotel</v>
      </c>
      <c r="D9" s="285" cm="1">
        <f t="array" ref="D9">IFERROR(IF(INDEX(I$41:I$100, SMALL(IF($B$41:$B$100=1, ROW($B$41:$B$100)-ROW($B$41)+1), $B9))="#N/A N/A", 0, INDEX(I$41:I$100, SMALL(IF($B$41:$B$100=1, ROW($B$41:$B$100)-ROW($B$41)+1), $B9))), 0)</f>
        <v>300</v>
      </c>
      <c r="E9" s="285" cm="1">
        <f t="array" ref="E9">IFERROR(IF(INDEX(H$41:H$100, SMALL(IF($B$41:$B$100=1, ROW($B$41:$B$100)-ROW($B$41)+1), $B9))="#N/A N/A", 0, INDEX(H$41:H$100, SMALL(IF($B$41:$B$100=1, ROW($B$41:$B$100)-ROW($B$41)+1), $B9))), 0)</f>
        <v>450</v>
      </c>
      <c r="F9" s="285" cm="1">
        <f t="array" ref="F9">IFERROR(IF(INDEX(G$41:G$100, SMALL(IF($B$41:$B$100=1, ROW($B$41:$B$100)-ROW($B$41)+1), $B9))="#N/A N/A", 0, INDEX(G$41:G$100, SMALL(IF($B$41:$B$100=1, ROW($B$41:$B$100)-ROW($B$41)+1), $B9))), 0)</f>
        <v>1551</v>
      </c>
      <c r="G9" s="285" cm="1">
        <f t="array" ref="G9">IFERROR(IF(INDEX(F$41:F$100, SMALL(IF($B$41:$B$100=1, ROW($B$41:$B$100)-ROW($B$41)+1), $B9))="#N/A N/A", 0, INDEX(F$41:F$100, SMALL(IF($B$41:$B$100=1, ROW($B$41:$B$100)-ROW($B$41)+1), $B9))), 0)</f>
        <v>1957</v>
      </c>
      <c r="H9" s="285" cm="1">
        <f t="array" ref="H9">IFERROR(IF(INDEX(E$41:E$100, SMALL(IF($B$41:$B$100=1, ROW($B$41:$B$100)-ROW($B$41)+1), $B9))="#N/A N/A", 0, INDEX(E$41:E$100, SMALL(IF($B$41:$B$100=1, ROW($B$41:$B$100)-ROW($B$41)+1), $B9))), 0)</f>
        <v>2090</v>
      </c>
      <c r="I9" s="234">
        <f>Time_Series!F19</f>
        <v>3081.4228051304863</v>
      </c>
      <c r="J9" s="234">
        <f>Time_Series!G19</f>
        <v>4543.1418679321696</v>
      </c>
      <c r="K9" s="234">
        <f>Time_Series!H19</f>
        <v>6698.2492625786135</v>
      </c>
      <c r="L9" s="234">
        <f>Time_Series!I19</f>
        <v>9875.6641302192347</v>
      </c>
      <c r="M9" s="234">
        <f>Time_Series!J19</f>
        <v>14560.333333333338</v>
      </c>
      <c r="N9" s="234">
        <f>Time_Series!K19</f>
        <v>21467.245542409059</v>
      </c>
      <c r="O9" s="234">
        <f>Time_Series!L19</f>
        <v>31650.555013260786</v>
      </c>
      <c r="P9" s="234">
        <f>Time_Series!M19</f>
        <v>46664.469862631013</v>
      </c>
      <c r="Q9" s="234">
        <f>Time_Series!N19</f>
        <v>68800.460107194012</v>
      </c>
      <c r="R9" s="234">
        <f>Time_Series!O19</f>
        <v>101436.98888888894</v>
      </c>
    </row>
    <row r="10" spans="2:21" x14ac:dyDescent="0.25">
      <c r="C10" s="94" t="s">
        <v>84</v>
      </c>
      <c r="D10" s="87" t="s">
        <v>85</v>
      </c>
      <c r="E10" s="95">
        <f t="shared" ref="E10:R10" si="3">(E9-D9)/D9</f>
        <v>0.5</v>
      </c>
      <c r="F10" s="95">
        <f t="shared" si="3"/>
        <v>2.4466666666666668</v>
      </c>
      <c r="G10" s="95">
        <f t="shared" si="3"/>
        <v>0.2617666021921341</v>
      </c>
      <c r="H10" s="95">
        <f t="shared" si="3"/>
        <v>6.7961165048543687E-2</v>
      </c>
      <c r="I10" s="95">
        <f t="shared" si="3"/>
        <v>0.47436497853133314</v>
      </c>
      <c r="J10" s="95">
        <f t="shared" si="3"/>
        <v>0.47436497853133308</v>
      </c>
      <c r="K10" s="95">
        <f t="shared" si="3"/>
        <v>0.47436497853133303</v>
      </c>
      <c r="L10" s="95">
        <f t="shared" si="3"/>
        <v>0.47436497853133303</v>
      </c>
      <c r="M10" s="95">
        <f t="shared" si="3"/>
        <v>0.47436497853133303</v>
      </c>
      <c r="N10" s="95">
        <f t="shared" si="3"/>
        <v>0.47436497853133303</v>
      </c>
      <c r="O10" s="95">
        <f t="shared" si="3"/>
        <v>0.47436497853133303</v>
      </c>
      <c r="P10" s="95">
        <f t="shared" si="3"/>
        <v>0.47436497853133303</v>
      </c>
      <c r="Q10" s="95">
        <f t="shared" si="3"/>
        <v>0.47436497853133308</v>
      </c>
      <c r="R10" s="95">
        <f t="shared" si="3"/>
        <v>0.47436497853133308</v>
      </c>
    </row>
    <row r="11" spans="2:21" x14ac:dyDescent="0.25">
      <c r="C11" s="94"/>
    </row>
    <row r="12" spans="2:21" x14ac:dyDescent="0.25">
      <c r="B12" s="140">
        <v>3</v>
      </c>
      <c r="C12" s="71" t="str" cm="1">
        <f t="array" ref="C12">IF(ISBLANK(Hub!D15), IFERROR(IF(INDEX(C$41:C$100, SMALL(IF($B$41:$B$100=1, ROW($B$41:$B$100)-ROW($B$41)+1), $B12))="#N/A N/A", "Division " &amp; $B12 &amp; " Revenue", INDEX(C$41:C$100, SMALL(IF($B$41:$B$100=1, ROW($B$41:$B$100)-ROW($B$41)+1), $B12))), "Division " &amp; B12 &amp; " Revenue"), Hub!D15 &amp; " Revenue")</f>
        <v>Food &amp; Beverage</v>
      </c>
      <c r="D12" s="285" cm="1">
        <f t="array" ref="D12">IFERROR(IF(INDEX(I$41:I$100, SMALL(IF($B$41:$B$100=1, ROW($B$41:$B$100)-ROW($B$41)+1), $B12))="#N/A N/A", 0, INDEX(I$41:I$100, SMALL(IF($B$41:$B$100=1, ROW($B$41:$B$100)-ROW($B$41)+1), $B12))), 0)</f>
        <v>301</v>
      </c>
      <c r="E12" s="285" cm="1">
        <f t="array" ref="E12">IFERROR(IF(INDEX(H$41:H$100, SMALL(IF($B$41:$B$100=1, ROW($B$41:$B$100)-ROW($B$41)+1), $B12))="#N/A N/A", 0, INDEX(H$41:H$100, SMALL(IF($B$41:$B$100=1, ROW($B$41:$B$100)-ROW($B$41)+1), $B12))), 0)</f>
        <v>342</v>
      </c>
      <c r="F12" s="285" cm="1">
        <f t="array" ref="F12">IFERROR(IF(INDEX(G$41:G$100, SMALL(IF($B$41:$B$100=1, ROW($B$41:$B$100)-ROW($B$41)+1), $B12))="#N/A N/A", 0, INDEX(G$41:G$100, SMALL(IF($B$41:$B$100=1, ROW($B$41:$B$100)-ROW($B$41)+1), $B12))), 0)</f>
        <v>1140</v>
      </c>
      <c r="G12" s="285" cm="1">
        <f t="array" ref="G12">IFERROR(IF(INDEX(F$41:F$100, SMALL(IF($B$41:$B$100=1, ROW($B$41:$B$100)-ROW($B$41)+1), $B12))="#N/A N/A", 0, INDEX(F$41:F$100, SMALL(IF($B$41:$B$100=1, ROW($B$41:$B$100)-ROW($B$41)+1), $B12))), 0)</f>
        <v>1596</v>
      </c>
      <c r="H12" s="285" cm="1">
        <f t="array" ref="H12">IFERROR(IF(INDEX(E$41:E$100, SMALL(IF($B$41:$B$100=1, ROW($B$41:$B$100)-ROW($B$41)+1), $B12))="#N/A N/A", 0, INDEX(E$41:E$100, SMALL(IF($B$41:$B$100=1, ROW($B$41:$B$100)-ROW($B$41)+1), $B12))), 0)</f>
        <v>1728</v>
      </c>
      <c r="I12" s="234">
        <f>Time_Series!F27</f>
        <v>2450.9767223726335</v>
      </c>
      <c r="J12" s="234">
        <f>Time_Series!G27</f>
        <v>3476.439174544269</v>
      </c>
      <c r="K12" s="234">
        <f>Time_Series!H27</f>
        <v>4930.9441513613056</v>
      </c>
      <c r="L12" s="234">
        <f>Time_Series!I27</f>
        <v>6993.9984573530319</v>
      </c>
      <c r="M12" s="234">
        <f>Time_Series!J27</f>
        <v>9920.2126245847157</v>
      </c>
      <c r="N12" s="234">
        <f>Time_Series!K27</f>
        <v>14070.723509169136</v>
      </c>
      <c r="O12" s="234">
        <f>Time_Series!L27</f>
        <v>19957.763766154472</v>
      </c>
      <c r="P12" s="234">
        <f>Time_Series!M27</f>
        <v>28307.878716120715</v>
      </c>
      <c r="Q12" s="234">
        <f>Time_Series!N27</f>
        <v>40151.592472777535</v>
      </c>
      <c r="R12" s="234">
        <f>Time_Series!O27</f>
        <v>56950.589419542812</v>
      </c>
      <c r="T12" s="85"/>
    </row>
    <row r="13" spans="2:21" x14ac:dyDescent="0.25">
      <c r="B13" s="140"/>
      <c r="C13" s="94" t="s">
        <v>84</v>
      </c>
      <c r="D13" s="87" t="s">
        <v>85</v>
      </c>
      <c r="E13" s="95">
        <f t="shared" ref="E13:R13" si="4">(E12-D12)/D12</f>
        <v>0.13621262458471761</v>
      </c>
      <c r="F13" s="95">
        <f t="shared" si="4"/>
        <v>2.3333333333333335</v>
      </c>
      <c r="G13" s="95">
        <f t="shared" si="4"/>
        <v>0.4</v>
      </c>
      <c r="H13" s="95">
        <f t="shared" si="4"/>
        <v>8.2706766917293228E-2</v>
      </c>
      <c r="I13" s="95">
        <f t="shared" si="4"/>
        <v>0.41838930692860737</v>
      </c>
      <c r="J13" s="95">
        <f t="shared" si="4"/>
        <v>0.41838930692860721</v>
      </c>
      <c r="K13" s="95">
        <f t="shared" si="4"/>
        <v>0.41838930692860737</v>
      </c>
      <c r="L13" s="95">
        <f t="shared" si="4"/>
        <v>0.41838930692860732</v>
      </c>
      <c r="M13" s="95">
        <f t="shared" si="4"/>
        <v>0.41838930692860732</v>
      </c>
      <c r="N13" s="95">
        <f t="shared" si="4"/>
        <v>0.41838930692860743</v>
      </c>
      <c r="O13" s="95">
        <f t="shared" si="4"/>
        <v>0.41838930692860726</v>
      </c>
      <c r="P13" s="95">
        <f t="shared" si="4"/>
        <v>0.41838930692860737</v>
      </c>
      <c r="Q13" s="95">
        <f t="shared" si="4"/>
        <v>0.41838930692860732</v>
      </c>
      <c r="R13" s="95">
        <f t="shared" si="4"/>
        <v>0.41838930692860726</v>
      </c>
    </row>
    <row r="15" spans="2:21" ht="15" customHeight="1" x14ac:dyDescent="0.25">
      <c r="B15" s="140">
        <v>4</v>
      </c>
      <c r="C15" s="71" t="str" cm="1">
        <f t="array" ref="C15">IF(ISBLANK(Hub!D16), IFERROR(IF(INDEX(C$41:C$100, SMALL(IF($B$41:$B$100=1, ROW($B$41:$B$100)-ROW($B$41)+1), $B15))="#N/A N/A", "Division " &amp; $B15 &amp; " Revenue", INDEX(C$41:C$100, SMALL(IF($B$41:$B$100=1, ROW($B$41:$B$100)-ROW($B$41)+1), $B15))), "Division " &amp; B15 &amp; " Revenue"), Hub!D16 &amp; " Revenue")</f>
        <v>Other</v>
      </c>
      <c r="D15" s="285" cm="1">
        <f t="array" ref="D15">IFERROR(IF(INDEX(I$41:I$100, SMALL(IF($B$41:$B$100=1, ROW($B$41:$B$100)-ROW($B$41)+1), $B15))="#N/A N/A", 0, INDEX(I$41:I$100, SMALL(IF($B$41:$B$100=1, ROW($B$41:$B$100)-ROW($B$41)+1), $B15))), 0)</f>
        <v>119</v>
      </c>
      <c r="E15" s="285" cm="1">
        <f t="array" ref="E15">IFERROR(IF(INDEX(H$41:H$100, SMALL(IF($B$41:$B$100=1, ROW($B$41:$B$100)-ROW($B$41)+1), $B15))="#N/A N/A", 0, INDEX(H$41:H$100, SMALL(IF($B$41:$B$100=1, ROW($B$41:$B$100)-ROW($B$41)+1), $B15))), 0)</f>
        <v>354</v>
      </c>
      <c r="F15" s="285" cm="1">
        <f t="array" ref="F15">IFERROR(IF(INDEX(G$41:G$100, SMALL(IF($B$41:$B$100=1, ROW($B$41:$B$100)-ROW($B$41)+1), $B15))="#N/A N/A", 0, INDEX(G$41:G$100, SMALL(IF($B$41:$B$100=1, ROW($B$41:$B$100)-ROW($B$41)+1), $B15))), 0)</f>
        <v>1052</v>
      </c>
      <c r="G15" s="285" cm="1">
        <f t="array" ref="G15">IFERROR(IF(INDEX(F$41:F$100, SMALL(IF($B$41:$B$100=1, ROW($B$41:$B$100)-ROW($B$41)+1), $B15))="#N/A N/A", 0, INDEX(F$41:F$100, SMALL(IF($B$41:$B$100=1, ROW($B$41:$B$100)-ROW($B$41)+1), $B15))), 0)</f>
        <v>1271</v>
      </c>
      <c r="H15" s="285" cm="1">
        <f t="array" ref="H15">IFERROR(IF(INDEX(E$41:E$100, SMALL(IF($B$41:$B$100=1, ROW($B$41:$B$100)-ROW($B$41)+1), $B15))="#N/A N/A", 0, INDEX(E$41:E$100, SMALL(IF($B$41:$B$100=1, ROW($B$41:$B$100)-ROW($B$41)+1), $B15))), 0)</f>
        <v>1343</v>
      </c>
      <c r="I15" s="234">
        <f>Time_Series!F35</f>
        <v>2180.6291982840303</v>
      </c>
      <c r="J15" s="234">
        <f>Time_Series!G35</f>
        <v>3540.6877888375675</v>
      </c>
      <c r="K15" s="234">
        <f>Time_Series!H35</f>
        <v>5749.0150218517656</v>
      </c>
      <c r="L15" s="234">
        <f>Time_Series!I35</f>
        <v>9334.6761117077167</v>
      </c>
      <c r="M15" s="234">
        <f>Time_Series!J35</f>
        <v>15156.714285714288</v>
      </c>
      <c r="N15" s="234">
        <f>Time_Series!K35</f>
        <v>24609.958094919773</v>
      </c>
      <c r="O15" s="234">
        <f>Time_Series!L35</f>
        <v>39959.190759738267</v>
      </c>
      <c r="P15" s="234">
        <f>Time_Series!M35</f>
        <v>64881.740960898504</v>
      </c>
      <c r="Q15" s="234">
        <f>Time_Series!N35</f>
        <v>105348.48754641566</v>
      </c>
      <c r="R15" s="234">
        <f>Time_Series!O35</f>
        <v>171054.34693877553</v>
      </c>
    </row>
    <row r="16" spans="2:21" x14ac:dyDescent="0.25">
      <c r="B16" s="140"/>
      <c r="C16" s="94" t="s">
        <v>84</v>
      </c>
      <c r="D16" s="87" t="s">
        <v>85</v>
      </c>
      <c r="E16" s="95">
        <f t="shared" ref="E16:R16" si="5">(E15-D15)/D15</f>
        <v>1.9747899159663866</v>
      </c>
      <c r="F16" s="95">
        <f t="shared" si="5"/>
        <v>1.9717514124293785</v>
      </c>
      <c r="G16" s="95">
        <f t="shared" si="5"/>
        <v>0.20817490494296578</v>
      </c>
      <c r="H16" s="95">
        <f t="shared" si="5"/>
        <v>5.6648308418568057E-2</v>
      </c>
      <c r="I16" s="95">
        <f t="shared" si="5"/>
        <v>0.62370007318244991</v>
      </c>
      <c r="J16" s="95">
        <f t="shared" si="5"/>
        <v>0.62370007318245013</v>
      </c>
      <c r="K16" s="95">
        <f t="shared" si="5"/>
        <v>0.62370007318245002</v>
      </c>
      <c r="L16" s="95">
        <f t="shared" si="5"/>
        <v>0.62370007318245013</v>
      </c>
      <c r="M16" s="95">
        <f t="shared" si="5"/>
        <v>0.62370007318245002</v>
      </c>
      <c r="N16" s="95">
        <f t="shared" si="5"/>
        <v>0.62370007318244991</v>
      </c>
      <c r="O16" s="95">
        <f t="shared" si="5"/>
        <v>0.62370007318245013</v>
      </c>
      <c r="P16" s="95">
        <f t="shared" si="5"/>
        <v>0.62370007318245002</v>
      </c>
      <c r="Q16" s="95">
        <f t="shared" si="5"/>
        <v>0.62370007318245002</v>
      </c>
      <c r="R16" s="95">
        <f t="shared" si="5"/>
        <v>0.62370007318244991</v>
      </c>
    </row>
    <row r="17" spans="2:18" x14ac:dyDescent="0.25">
      <c r="C17" s="94"/>
    </row>
    <row r="18" spans="2:18" x14ac:dyDescent="0.25">
      <c r="B18" s="140">
        <v>5</v>
      </c>
      <c r="C18" s="71" t="str" cm="1">
        <f t="array" ref="C18">IF(ISBLANK(Hub!D17), IFERROR(IF(INDEX(C$41:C$100, SMALL(IF($B$41:$B$100=1, ROW($B$41:$B$100)-ROW($B$41)+1), $B18))="#N/A N/A", "Division " &amp; $B18 &amp; " Revenue", INDEX(C$41:C$100, SMALL(IF($B$41:$B$100=1, ROW($B$41:$B$100)-ROW($B$41)+1), $B18))), "Division " &amp; B18 &amp; " Revenue"), Hub!S17 &amp; " Revenue")</f>
        <v>Division 5 Revenue</v>
      </c>
      <c r="D18" s="285" cm="1">
        <f t="array" ref="D18">IFERROR(IF(INDEX(I$41:I$100, SMALL(IF($B$41:$B$100=1, ROW($B$41:$B$100)-ROW($B$41)+1), $B18))="#N/A N/A", 0, INDEX(I$41:I$100, SMALL(IF($B$41:$B$100=1, ROW($B$41:$B$100)-ROW($B$41)+1), $B18))), 0)</f>
        <v>0</v>
      </c>
      <c r="E18" s="285" cm="1">
        <f t="array" ref="E18">IFERROR(IF(INDEX(H$41:H$100, SMALL(IF($B$41:$B$100=1, ROW($B$41:$B$100)-ROW($B$41)+1), $B18))="#N/A N/A", 0, INDEX(H$41:H$100, SMALL(IF($B$41:$B$100=1, ROW($B$41:$B$100)-ROW($B$41)+1), $B18))), 0)</f>
        <v>0</v>
      </c>
      <c r="F18" s="285" cm="1">
        <f t="array" ref="F18">IFERROR(IF(INDEX(G$41:G$100, SMALL(IF($B$41:$B$100=1, ROW($B$41:$B$100)-ROW($B$41)+1), $B18))="#N/A N/A", 0, INDEX(G$41:G$100, SMALL(IF($B$41:$B$100=1, ROW($B$41:$B$100)-ROW($B$41)+1), $B18))), 0)</f>
        <v>0</v>
      </c>
      <c r="G18" s="285" cm="1">
        <f t="array" ref="G18">IFERROR(IF(INDEX(F$41:F$100, SMALL(IF($B$41:$B$100=1, ROW($B$41:$B$100)-ROW($B$41)+1), $B18))="#N/A N/A", 0, INDEX(F$41:F$100, SMALL(IF($B$41:$B$100=1, ROW($B$41:$B$100)-ROW($B$41)+1), $B18))), 0)</f>
        <v>0</v>
      </c>
      <c r="H18" s="285" cm="1">
        <f t="array" ref="H18">IFERROR(IF(INDEX(E$41:E$100, SMALL(IF($B$41:$B$100=1, ROW($B$41:$B$100)-ROW($B$41)+1), $B18))="#N/A N/A", 0, INDEX(E$41:E$100, SMALL(IF($B$41:$B$100=1, ROW($B$41:$B$100)-ROW($B$41)+1), $B18))), 0)</f>
        <v>0</v>
      </c>
      <c r="I18" s="234">
        <f>Time_Series!F43</f>
        <v>0</v>
      </c>
      <c r="J18" s="234">
        <f>Time_Series!G43</f>
        <v>0</v>
      </c>
      <c r="K18" s="234">
        <f>Time_Series!H43</f>
        <v>0</v>
      </c>
      <c r="L18" s="234">
        <f>Time_Series!I43</f>
        <v>0</v>
      </c>
      <c r="M18" s="234">
        <f>Time_Series!J43</f>
        <v>0</v>
      </c>
      <c r="N18" s="234">
        <f>Time_Series!K43</f>
        <v>0</v>
      </c>
      <c r="O18" s="234">
        <f>Time_Series!L43</f>
        <v>0</v>
      </c>
      <c r="P18" s="234">
        <f>Time_Series!M43</f>
        <v>0</v>
      </c>
      <c r="Q18" s="234">
        <f>Time_Series!N43</f>
        <v>0</v>
      </c>
      <c r="R18" s="234">
        <f>Time_Series!O43</f>
        <v>0</v>
      </c>
    </row>
    <row r="19" spans="2:18" x14ac:dyDescent="0.25">
      <c r="C19" s="94" t="s">
        <v>84</v>
      </c>
      <c r="D19" s="87" t="s">
        <v>85</v>
      </c>
      <c r="E19" s="95" t="e">
        <f t="shared" ref="E19:R19" si="6">(E18-D18)/D18</f>
        <v>#DIV/0!</v>
      </c>
      <c r="F19" s="95" t="e">
        <f t="shared" si="6"/>
        <v>#DIV/0!</v>
      </c>
      <c r="G19" s="95" t="e">
        <f t="shared" si="6"/>
        <v>#DIV/0!</v>
      </c>
      <c r="H19" s="95" t="e">
        <f t="shared" si="6"/>
        <v>#DIV/0!</v>
      </c>
      <c r="I19" s="95" t="e">
        <f t="shared" si="6"/>
        <v>#DIV/0!</v>
      </c>
      <c r="J19" s="95" t="e">
        <f t="shared" si="6"/>
        <v>#DIV/0!</v>
      </c>
      <c r="K19" s="95" t="e">
        <f t="shared" si="6"/>
        <v>#DIV/0!</v>
      </c>
      <c r="L19" s="95" t="e">
        <f t="shared" si="6"/>
        <v>#DIV/0!</v>
      </c>
      <c r="M19" s="95" t="e">
        <f t="shared" si="6"/>
        <v>#DIV/0!</v>
      </c>
      <c r="N19" s="95" t="e">
        <f t="shared" si="6"/>
        <v>#DIV/0!</v>
      </c>
      <c r="O19" s="95" t="e">
        <f t="shared" si="6"/>
        <v>#DIV/0!</v>
      </c>
      <c r="P19" s="95" t="e">
        <f t="shared" si="6"/>
        <v>#DIV/0!</v>
      </c>
      <c r="Q19" s="95" t="e">
        <f t="shared" si="6"/>
        <v>#DIV/0!</v>
      </c>
      <c r="R19" s="95" t="e">
        <f t="shared" si="6"/>
        <v>#DIV/0!</v>
      </c>
    </row>
    <row r="20" spans="2:18" x14ac:dyDescent="0.25">
      <c r="C20" s="94"/>
    </row>
    <row r="21" spans="2:18" x14ac:dyDescent="0.25">
      <c r="B21" s="140">
        <v>6</v>
      </c>
      <c r="C21" s="71" t="str" cm="1">
        <f t="array" ref="C21">IF(ISBLANK(Hub!H13), IFERROR(IF(INDEX(C$41:C$100, SMALL(IF($B$41:$B$100=1, ROW($B$41:$B$100)-ROW($B$41)+1), $B21))="#N/A N/A", "Division " &amp; $B21 &amp; " Revenue", INDEX(C$41:C$100, SMALL(IF($B$41:$B$100=1, ROW($B$41:$B$100)-ROW($B$41)+1), $B21))), "Division " &amp; B21 &amp; " Revenue"), Hub!H13 &amp; " Revenue")</f>
        <v>Division 6 Revenue</v>
      </c>
      <c r="D21" s="285" cm="1">
        <f t="array" ref="D21">IFERROR(IF(INDEX(I$41:I$100, SMALL(IF($B$41:$B$100=1, ROW($B$41:$B$100)-ROW($B$41)+1), $B21))="#N/A N/A", 0, INDEX(I$41:I$100, SMALL(IF($B$41:$B$100=1, ROW($B$41:$B$100)-ROW($B$41)+1), $B21))), 0)</f>
        <v>0</v>
      </c>
      <c r="E21" s="285" cm="1">
        <f t="array" ref="E21">IFERROR(IF(INDEX(H$41:H$100, SMALL(IF($B$41:$B$100=1, ROW($B$41:$B$100)-ROW($B$41)+1), $B21))="#N/A N/A", 0, INDEX(H$41:H$100, SMALL(IF($B$41:$B$100=1, ROW($B$41:$B$100)-ROW($B$41)+1), $B21))), 0)</f>
        <v>0</v>
      </c>
      <c r="F21" s="285" cm="1">
        <f t="array" ref="F21">IFERROR(IF(INDEX(G$41:G$100, SMALL(IF($B$41:$B$100=1, ROW($B$41:$B$100)-ROW($B$41)+1), $B21))="#N/A N/A", 0, INDEX(G$41:G$100, SMALL(IF($B$41:$B$100=1, ROW($B$41:$B$100)-ROW($B$41)+1), $B21))), 0)</f>
        <v>0</v>
      </c>
      <c r="G21" s="285" cm="1">
        <f t="array" ref="G21">IFERROR(IF(INDEX(F$41:F$100, SMALL(IF($B$41:$B$100=1, ROW($B$41:$B$100)-ROW($B$41)+1), $B21))="#N/A N/A", 0, INDEX(F$41:F$100, SMALL(IF($B$41:$B$100=1, ROW($B$41:$B$100)-ROW($B$41)+1), $B21))), 0)</f>
        <v>0</v>
      </c>
      <c r="H21" s="285" cm="1">
        <f t="array" ref="H21">IFERROR(IF(INDEX(E$41:E$100, SMALL(IF($B$41:$B$100=1, ROW($B$41:$B$100)-ROW($B$41)+1), $B21))="#N/A N/A", 0, INDEX(E$41:E$100, SMALL(IF($B$41:$B$100=1, ROW($B$41:$B$100)-ROW($B$41)+1), $B21))), 0)</f>
        <v>0</v>
      </c>
      <c r="I21" s="234">
        <f>Time_Series!F51</f>
        <v>0</v>
      </c>
      <c r="J21" s="234">
        <f>Time_Series!G51</f>
        <v>0</v>
      </c>
      <c r="K21" s="234">
        <f>Time_Series!H51</f>
        <v>0</v>
      </c>
      <c r="L21" s="234">
        <f>Time_Series!I51</f>
        <v>0</v>
      </c>
      <c r="M21" s="234">
        <f>Time_Series!J51</f>
        <v>0</v>
      </c>
      <c r="N21" s="234">
        <f>Time_Series!K51</f>
        <v>0</v>
      </c>
      <c r="O21" s="234">
        <f>Time_Series!L51</f>
        <v>0</v>
      </c>
      <c r="P21" s="234">
        <f>Time_Series!M51</f>
        <v>0</v>
      </c>
      <c r="Q21" s="234">
        <f>Time_Series!N51</f>
        <v>0</v>
      </c>
      <c r="R21" s="234">
        <f>Time_Series!O51</f>
        <v>0</v>
      </c>
    </row>
    <row r="22" spans="2:18" x14ac:dyDescent="0.25">
      <c r="C22" s="94" t="s">
        <v>84</v>
      </c>
      <c r="D22" s="87" t="s">
        <v>85</v>
      </c>
      <c r="E22" s="95" t="e">
        <f t="shared" ref="E22:R22" si="7">(E21-D21)/D21</f>
        <v>#DIV/0!</v>
      </c>
      <c r="F22" s="95" t="e">
        <f t="shared" si="7"/>
        <v>#DIV/0!</v>
      </c>
      <c r="G22" s="95" t="e">
        <f t="shared" si="7"/>
        <v>#DIV/0!</v>
      </c>
      <c r="H22" s="95" t="e">
        <f t="shared" si="7"/>
        <v>#DIV/0!</v>
      </c>
      <c r="I22" s="95" t="e">
        <f t="shared" si="7"/>
        <v>#DIV/0!</v>
      </c>
      <c r="J22" s="95" t="e">
        <f t="shared" si="7"/>
        <v>#DIV/0!</v>
      </c>
      <c r="K22" s="95" t="e">
        <f t="shared" si="7"/>
        <v>#DIV/0!</v>
      </c>
      <c r="L22" s="95" t="e">
        <f t="shared" si="7"/>
        <v>#DIV/0!</v>
      </c>
      <c r="M22" s="95" t="e">
        <f t="shared" si="7"/>
        <v>#DIV/0!</v>
      </c>
      <c r="N22" s="95" t="e">
        <f t="shared" si="7"/>
        <v>#DIV/0!</v>
      </c>
      <c r="O22" s="95" t="e">
        <f t="shared" si="7"/>
        <v>#DIV/0!</v>
      </c>
      <c r="P22" s="95" t="e">
        <f t="shared" si="7"/>
        <v>#DIV/0!</v>
      </c>
      <c r="Q22" s="95" t="e">
        <f t="shared" si="7"/>
        <v>#DIV/0!</v>
      </c>
      <c r="R22" s="95" t="e">
        <f t="shared" si="7"/>
        <v>#DIV/0!</v>
      </c>
    </row>
    <row r="23" spans="2:18" x14ac:dyDescent="0.25">
      <c r="D23" s="96"/>
      <c r="E23" s="96"/>
      <c r="F23" s="96"/>
      <c r="G23" s="96"/>
      <c r="H23" s="96"/>
    </row>
    <row r="24" spans="2:18" x14ac:dyDescent="0.25">
      <c r="B24" s="140">
        <v>7</v>
      </c>
      <c r="C24" s="71" t="str" cm="1">
        <f t="array" ref="C24">IF(ISBLANK(Hub!H14), IFERROR(IF(INDEX(C$41:C$100, SMALL(IF($B$41:$B$100=1, ROW($B$41:$B$100)-ROW($B$41)+1), $B24))="#N/A N/A", "Division " &amp; $B24 &amp; " Revenue", INDEX(C$41:C$100, SMALL(IF($B$41:$B$100=1, ROW($B$41:$B$100)-ROW($B$41)+1), $B24))), "Division " &amp; B24 &amp; " Revenue"), Hub!H14 &amp; " Revenue")</f>
        <v>Division 7 Revenue</v>
      </c>
      <c r="D24" s="285" cm="1">
        <f t="array" ref="D24">IFERROR(IF(INDEX(I$41:I$100, SMALL(IF($B$41:$B$100=1, ROW($B$41:$B$100)-ROW($B$41)+1), $B24))="#N/A N/A", 0, INDEX(I$41:I$100, SMALL(IF($B$41:$B$100=1, ROW($B$41:$B$100)-ROW($B$41)+1), $B24))), 0)</f>
        <v>0</v>
      </c>
      <c r="E24" s="285" cm="1">
        <f t="array" ref="E24">IFERROR(IF(INDEX(H$41:H$100, SMALL(IF($B$41:$B$100=1, ROW($B$41:$B$100)-ROW($B$41)+1), $B24))="#N/A N/A", 0, INDEX(H$41:H$100, SMALL(IF($B$41:$B$100=1, ROW($B$41:$B$100)-ROW($B$41)+1), $B24))), 0)</f>
        <v>0</v>
      </c>
      <c r="F24" s="285" cm="1">
        <f t="array" ref="F24">IFERROR(IF(INDEX(G$41:G$100, SMALL(IF($B$41:$B$100=1, ROW($B$41:$B$100)-ROW($B$41)+1), $B24))="#N/A N/A", 0, INDEX(G$41:G$100, SMALL(IF($B$41:$B$100=1, ROW($B$41:$B$100)-ROW($B$41)+1), $B24))), 0)</f>
        <v>0</v>
      </c>
      <c r="G24" s="285" cm="1">
        <f t="array" ref="G24">IFERROR(IF(INDEX(F$41:F$100, SMALL(IF($B$41:$B$100=1, ROW($B$41:$B$100)-ROW($B$41)+1), $B24))="#N/A N/A", 0, INDEX(F$41:F$100, SMALL(IF($B$41:$B$100=1, ROW($B$41:$B$100)-ROW($B$41)+1), $B24))), 0)</f>
        <v>0</v>
      </c>
      <c r="H24" s="285" cm="1">
        <f t="array" ref="H24">IFERROR(IF(INDEX(E$41:E$100, SMALL(IF($B$41:$B$100=1, ROW($B$41:$B$100)-ROW($B$41)+1), $B24))="#N/A N/A", 0, INDEX(E$41:E$100, SMALL(IF($B$41:$B$100=1, ROW($B$41:$B$100)-ROW($B$41)+1), $B24))), 0)</f>
        <v>0</v>
      </c>
      <c r="I24" s="234">
        <f>Time_Series!F59</f>
        <v>0</v>
      </c>
      <c r="J24" s="234">
        <f>Time_Series!G59</f>
        <v>0</v>
      </c>
      <c r="K24" s="234">
        <f>Time_Series!H59</f>
        <v>0</v>
      </c>
      <c r="L24" s="234">
        <f>Time_Series!I59</f>
        <v>0</v>
      </c>
      <c r="M24" s="234">
        <f>Time_Series!J59</f>
        <v>0</v>
      </c>
      <c r="N24" s="234">
        <f>Time_Series!K59</f>
        <v>0</v>
      </c>
      <c r="O24" s="234">
        <f>Time_Series!L59</f>
        <v>0</v>
      </c>
      <c r="P24" s="234">
        <f>Time_Series!M59</f>
        <v>0</v>
      </c>
      <c r="Q24" s="234">
        <f>Time_Series!N59</f>
        <v>0</v>
      </c>
      <c r="R24" s="234">
        <f>Time_Series!O59</f>
        <v>0</v>
      </c>
    </row>
    <row r="25" spans="2:18" x14ac:dyDescent="0.25">
      <c r="C25" s="94" t="s">
        <v>84</v>
      </c>
      <c r="D25" s="87" t="s">
        <v>85</v>
      </c>
      <c r="E25" s="95" t="e">
        <f t="shared" ref="E25:R25" si="8">(E24-D24)/D24</f>
        <v>#DIV/0!</v>
      </c>
      <c r="F25" s="95" t="e">
        <f t="shared" si="8"/>
        <v>#DIV/0!</v>
      </c>
      <c r="G25" s="95" t="e">
        <f t="shared" si="8"/>
        <v>#DIV/0!</v>
      </c>
      <c r="H25" s="95" t="e">
        <f t="shared" si="8"/>
        <v>#DIV/0!</v>
      </c>
      <c r="I25" s="95" t="e">
        <f t="shared" si="8"/>
        <v>#DIV/0!</v>
      </c>
      <c r="J25" s="95" t="e">
        <f t="shared" si="8"/>
        <v>#DIV/0!</v>
      </c>
      <c r="K25" s="95" t="e">
        <f t="shared" si="8"/>
        <v>#DIV/0!</v>
      </c>
      <c r="L25" s="95" t="e">
        <f t="shared" si="8"/>
        <v>#DIV/0!</v>
      </c>
      <c r="M25" s="95" t="e">
        <f t="shared" si="8"/>
        <v>#DIV/0!</v>
      </c>
      <c r="N25" s="95" t="e">
        <f t="shared" si="8"/>
        <v>#DIV/0!</v>
      </c>
      <c r="O25" s="95" t="e">
        <f t="shared" si="8"/>
        <v>#DIV/0!</v>
      </c>
      <c r="P25" s="95" t="e">
        <f t="shared" si="8"/>
        <v>#DIV/0!</v>
      </c>
      <c r="Q25" s="95" t="e">
        <f t="shared" si="8"/>
        <v>#DIV/0!</v>
      </c>
      <c r="R25" s="95" t="e">
        <f t="shared" si="8"/>
        <v>#DIV/0!</v>
      </c>
    </row>
    <row r="26" spans="2:18" x14ac:dyDescent="0.25">
      <c r="D26" s="96"/>
      <c r="E26" s="96"/>
      <c r="F26" s="96"/>
      <c r="G26" s="96"/>
      <c r="H26" s="96"/>
    </row>
    <row r="27" spans="2:18" x14ac:dyDescent="0.25">
      <c r="B27" s="140">
        <v>8</v>
      </c>
      <c r="C27" s="71" t="str" cm="1">
        <f t="array" ref="C27">IF(ISBLANK(Hub!H15), IFERROR(IF(INDEX(C$41:C$100, SMALL(IF($B$41:$B$100=1, ROW($B$41:$B$100)-ROW($B$41)+1), $B27))="#N/A N/A", "Division " &amp; $B27 &amp; " Revenue", INDEX(C$41:C$100, SMALL(IF($B$41:$B$100=1, ROW($B$41:$B$100)-ROW($B$41)+1), $B27))), "Division " &amp; B27 &amp; " Revenue"), Hub!H15 &amp; " Revenue")</f>
        <v>Division 8 Revenue</v>
      </c>
      <c r="D27" s="285" cm="1">
        <f t="array" ref="D27">IFERROR(IF(INDEX(I$41:I$100, SMALL(IF($B$41:$B$100=1, ROW($B$41:$B$100)-ROW($B$41)+1), $B27))="#N/A N/A", 0, INDEX(I$41:I$100, SMALL(IF($B$41:$B$100=1, ROW($B$41:$B$100)-ROW($B$41)+1), $B27))), 0)</f>
        <v>0</v>
      </c>
      <c r="E27" s="285" cm="1">
        <f t="array" ref="E27">IFERROR(IF(INDEX(H$41:H$100, SMALL(IF($B$41:$B$100=1, ROW($B$41:$B$100)-ROW($B$41)+1), $B27))="#N/A N/A", 0, INDEX(H$41:H$100, SMALL(IF($B$41:$B$100=1, ROW($B$41:$B$100)-ROW($B$41)+1), $B27))), 0)</f>
        <v>0</v>
      </c>
      <c r="F27" s="285" cm="1">
        <f t="array" ref="F27">IFERROR(IF(INDEX(G$41:G$100, SMALL(IF($B$41:$B$100=1, ROW($B$41:$B$100)-ROW($B$41)+1), $B27))="#N/A N/A", 0, INDEX(G$41:G$100, SMALL(IF($B$41:$B$100=1, ROW($B$41:$B$100)-ROW($B$41)+1), $B27))), 0)</f>
        <v>0</v>
      </c>
      <c r="G27" s="285" cm="1">
        <f t="array" ref="G27">IFERROR(IF(INDEX(F$41:F$100, SMALL(IF($B$41:$B$100=1, ROW($B$41:$B$100)-ROW($B$41)+1), $B27))="#N/A N/A", 0, INDEX(F$41:F$100, SMALL(IF($B$41:$B$100=1, ROW($B$41:$B$100)-ROW($B$41)+1), $B27))), 0)</f>
        <v>0</v>
      </c>
      <c r="H27" s="285" cm="1">
        <f t="array" ref="H27">IFERROR(IF(INDEX(E$41:E$100, SMALL(IF($B$41:$B$100=1, ROW($B$41:$B$100)-ROW($B$41)+1), $B27))="#N/A N/A", 0, INDEX(E$41:E$100, SMALL(IF($B$41:$B$100=1, ROW($B$41:$B$100)-ROW($B$41)+1), $B27))), 0)</f>
        <v>0</v>
      </c>
      <c r="I27" s="234">
        <f>Time_Series!F67</f>
        <v>0</v>
      </c>
      <c r="J27" s="234">
        <f>Time_Series!G67</f>
        <v>0</v>
      </c>
      <c r="K27" s="234">
        <f>Time_Series!H67</f>
        <v>0</v>
      </c>
      <c r="L27" s="234">
        <f>Time_Series!I67</f>
        <v>0</v>
      </c>
      <c r="M27" s="234">
        <f>Time_Series!J67</f>
        <v>0</v>
      </c>
      <c r="N27" s="234">
        <f>Time_Series!K67</f>
        <v>0</v>
      </c>
      <c r="O27" s="234">
        <f>Time_Series!L67</f>
        <v>0</v>
      </c>
      <c r="P27" s="234">
        <f>Time_Series!M67</f>
        <v>0</v>
      </c>
      <c r="Q27" s="234">
        <f>Time_Series!N67</f>
        <v>0</v>
      </c>
      <c r="R27" s="234">
        <f>Time_Series!O67</f>
        <v>0</v>
      </c>
    </row>
    <row r="28" spans="2:18" x14ac:dyDescent="0.25">
      <c r="C28" s="94" t="s">
        <v>84</v>
      </c>
      <c r="D28" s="87" t="s">
        <v>85</v>
      </c>
      <c r="E28" s="95" t="e">
        <f t="shared" ref="E28:R28" si="9">(E27-D27)/D27</f>
        <v>#DIV/0!</v>
      </c>
      <c r="F28" s="95" t="e">
        <f t="shared" si="9"/>
        <v>#DIV/0!</v>
      </c>
      <c r="G28" s="95" t="e">
        <f t="shared" si="9"/>
        <v>#DIV/0!</v>
      </c>
      <c r="H28" s="95" t="e">
        <f t="shared" si="9"/>
        <v>#DIV/0!</v>
      </c>
      <c r="I28" s="95" t="e">
        <f t="shared" si="9"/>
        <v>#DIV/0!</v>
      </c>
      <c r="J28" s="95" t="e">
        <f t="shared" si="9"/>
        <v>#DIV/0!</v>
      </c>
      <c r="K28" s="95" t="e">
        <f t="shared" si="9"/>
        <v>#DIV/0!</v>
      </c>
      <c r="L28" s="95" t="e">
        <f t="shared" si="9"/>
        <v>#DIV/0!</v>
      </c>
      <c r="M28" s="95" t="e">
        <f t="shared" si="9"/>
        <v>#DIV/0!</v>
      </c>
      <c r="N28" s="95" t="e">
        <f t="shared" si="9"/>
        <v>#DIV/0!</v>
      </c>
      <c r="O28" s="95" t="e">
        <f t="shared" si="9"/>
        <v>#DIV/0!</v>
      </c>
      <c r="P28" s="95" t="e">
        <f t="shared" si="9"/>
        <v>#DIV/0!</v>
      </c>
      <c r="Q28" s="95" t="e">
        <f t="shared" si="9"/>
        <v>#DIV/0!</v>
      </c>
      <c r="R28" s="95" t="e">
        <f t="shared" si="9"/>
        <v>#DIV/0!</v>
      </c>
    </row>
    <row r="29" spans="2:18" x14ac:dyDescent="0.25">
      <c r="D29" s="96"/>
      <c r="E29" s="96"/>
      <c r="F29" s="96"/>
      <c r="G29" s="96"/>
      <c r="H29" s="96"/>
    </row>
    <row r="30" spans="2:18" x14ac:dyDescent="0.25">
      <c r="B30" s="140">
        <v>9</v>
      </c>
      <c r="C30" s="71" t="str" cm="1">
        <f t="array" ref="C30">IF(ISBLANK(Hub!H16), IFERROR(IF(INDEX(C$41:C$100, SMALL(IF($B$41:$B$100=1, ROW($B$41:$B$100)-ROW($B$41)+1), $B30))="#N/A N/A", "Division " &amp; $B30 &amp; " Revenue", INDEX(C$41:C$100, SMALL(IF($B$41:$B$100=1, ROW($B$41:$B$100)-ROW($B$41)+1), $B30))), "Division " &amp; B30 &amp; " Revenue"), Hub!H16 &amp; " Revenue")</f>
        <v>Division 9 Revenue</v>
      </c>
      <c r="D30" s="285" cm="1">
        <f t="array" ref="D30">IFERROR(IF(INDEX(I$41:I$100, SMALL(IF($B$41:$B$100=1, ROW($B$41:$B$100)-ROW($B$41)+1), $B30))="#N/A N/A", 0, INDEX(I$41:I$100, SMALL(IF($B$41:$B$100=1, ROW($B$41:$B$100)-ROW($B$41)+1), $B30))), 0)</f>
        <v>0</v>
      </c>
      <c r="E30" s="285" cm="1">
        <f t="array" ref="E30">IFERROR(IF(INDEX(H$41:H$100, SMALL(IF($B$41:$B$100=1, ROW($B$41:$B$100)-ROW($B$41)+1), $B30))="#N/A N/A", 0, INDEX(H$41:H$100, SMALL(IF($B$41:$B$100=1, ROW($B$41:$B$100)-ROW($B$41)+1), $B30))), 0)</f>
        <v>0</v>
      </c>
      <c r="F30" s="285" cm="1">
        <f t="array" ref="F30">IFERROR(IF(INDEX(G$41:G$100, SMALL(IF($B$41:$B$100=1, ROW($B$41:$B$100)-ROW($B$41)+1), $B30))="#N/A N/A", 0, INDEX(G$41:G$100, SMALL(IF($B$41:$B$100=1, ROW($B$41:$B$100)-ROW($B$41)+1), $B30))), 0)</f>
        <v>0</v>
      </c>
      <c r="G30" s="285" cm="1">
        <f t="array" ref="G30">IFERROR(IF(INDEX(F$41:F$100, SMALL(IF($B$41:$B$100=1, ROW($B$41:$B$100)-ROW($B$41)+1), $B30))="#N/A N/A", 0, INDEX(F$41:F$100, SMALL(IF($B$41:$B$100=1, ROW($B$41:$B$100)-ROW($B$41)+1), $B30))), 0)</f>
        <v>0</v>
      </c>
      <c r="H30" s="285" cm="1">
        <f t="array" ref="H30">IFERROR(IF(INDEX(E$41:E$100, SMALL(IF($B$41:$B$100=1, ROW($B$41:$B$100)-ROW($B$41)+1), $B30))="#N/A N/A", 0, INDEX(E$41:E$100, SMALL(IF($B$41:$B$100=1, ROW($B$41:$B$100)-ROW($B$41)+1), $B30))), 0)</f>
        <v>0</v>
      </c>
      <c r="I30" s="234">
        <f>Time_Series!F75</f>
        <v>0</v>
      </c>
      <c r="J30" s="234">
        <f>Time_Series!G75</f>
        <v>0</v>
      </c>
      <c r="K30" s="234">
        <f>Time_Series!H75</f>
        <v>0</v>
      </c>
      <c r="L30" s="234">
        <f>Time_Series!I75</f>
        <v>0</v>
      </c>
      <c r="M30" s="234">
        <f>Time_Series!J75</f>
        <v>0</v>
      </c>
      <c r="N30" s="234">
        <f>Time_Series!K75</f>
        <v>0</v>
      </c>
      <c r="O30" s="234">
        <f>Time_Series!L75</f>
        <v>0</v>
      </c>
      <c r="P30" s="234">
        <f>Time_Series!M75</f>
        <v>0</v>
      </c>
      <c r="Q30" s="234">
        <f>Time_Series!N75</f>
        <v>0</v>
      </c>
      <c r="R30" s="234">
        <f>Time_Series!O75</f>
        <v>0</v>
      </c>
    </row>
    <row r="31" spans="2:18" x14ac:dyDescent="0.25">
      <c r="C31" s="94" t="s">
        <v>84</v>
      </c>
      <c r="D31" s="87" t="s">
        <v>85</v>
      </c>
      <c r="E31" s="95" t="e">
        <f t="shared" ref="E31:R31" si="10">(E30-D30)/D30</f>
        <v>#DIV/0!</v>
      </c>
      <c r="F31" s="95" t="e">
        <f t="shared" si="10"/>
        <v>#DIV/0!</v>
      </c>
      <c r="G31" s="95" t="e">
        <f t="shared" si="10"/>
        <v>#DIV/0!</v>
      </c>
      <c r="H31" s="95" t="e">
        <f t="shared" si="10"/>
        <v>#DIV/0!</v>
      </c>
      <c r="I31" s="95" t="e">
        <f t="shared" si="10"/>
        <v>#DIV/0!</v>
      </c>
      <c r="J31" s="95" t="e">
        <f t="shared" si="10"/>
        <v>#DIV/0!</v>
      </c>
      <c r="K31" s="95" t="e">
        <f t="shared" si="10"/>
        <v>#DIV/0!</v>
      </c>
      <c r="L31" s="95" t="e">
        <f t="shared" si="10"/>
        <v>#DIV/0!</v>
      </c>
      <c r="M31" s="95" t="e">
        <f t="shared" si="10"/>
        <v>#DIV/0!</v>
      </c>
      <c r="N31" s="95" t="e">
        <f t="shared" si="10"/>
        <v>#DIV/0!</v>
      </c>
      <c r="O31" s="95" t="e">
        <f t="shared" si="10"/>
        <v>#DIV/0!</v>
      </c>
      <c r="P31" s="95" t="e">
        <f t="shared" si="10"/>
        <v>#DIV/0!</v>
      </c>
      <c r="Q31" s="95" t="e">
        <f t="shared" si="10"/>
        <v>#DIV/0!</v>
      </c>
      <c r="R31" s="95" t="e">
        <f t="shared" si="10"/>
        <v>#DIV/0!</v>
      </c>
    </row>
    <row r="32" spans="2:18" x14ac:dyDescent="0.25">
      <c r="C32" s="93"/>
      <c r="D32" s="97"/>
      <c r="E32" s="97"/>
      <c r="F32" s="97"/>
      <c r="G32" s="97"/>
      <c r="H32" s="97"/>
    </row>
    <row r="33" spans="2:20" x14ac:dyDescent="0.25">
      <c r="B33" s="140">
        <v>10</v>
      </c>
      <c r="C33" s="71" t="str" cm="1">
        <f t="array" ref="C33">IF(ISBLANK(Hub!H17), IFERROR(IF(INDEX(C$41:C$100, SMALL(IF($B$41:$B$100=1, ROW($B$41:$B$100)-ROW($B$41)+1), $B33))="#N/A N/A", "Division " &amp; $B33 &amp; " Revenue", INDEX(C$41:C$100, SMALL(IF($B$41:$B$100=1, ROW($B$41:$B$100)-ROW($B$41)+1), $B33))), "Division " &amp; B33 &amp; " Revenue"), Hub!H17 &amp; " Revenue")</f>
        <v>Division 10 Revenue</v>
      </c>
      <c r="D33" s="285" cm="1">
        <f t="array" ref="D33">IFERROR(IF(INDEX(I$41:I$100, SMALL(IF($B$41:$B$100=1, ROW($B$41:$B$100)-ROW($B$41)+1), $B33))="#N/A N/A", 0, INDEX(I$41:I$100, SMALL(IF($B$41:$B$100=1, ROW($B$41:$B$100)-ROW($B$41)+1), $B33))), 0)</f>
        <v>0</v>
      </c>
      <c r="E33" s="285" cm="1">
        <f t="array" ref="E33">IFERROR(IF(INDEX(H$41:H$100, SMALL(IF($B$41:$B$100=1, ROW($B$41:$B$100)-ROW($B$41)+1), $B33))="#N/A N/A", 0, INDEX(H$41:H$100, SMALL(IF($B$41:$B$100=1, ROW($B$41:$B$100)-ROW($B$41)+1), $B33))), 0)</f>
        <v>0</v>
      </c>
      <c r="F33" s="285" cm="1">
        <f t="array" ref="F33">IFERROR(IF(INDEX(G$41:G$100, SMALL(IF($B$41:$B$100=1, ROW($B$41:$B$100)-ROW($B$41)+1), $B33))="#N/A N/A", 0, INDEX(G$41:G$100, SMALL(IF($B$41:$B$100=1, ROW($B$41:$B$100)-ROW($B$41)+1), $B33))), 0)</f>
        <v>0</v>
      </c>
      <c r="G33" s="285" cm="1">
        <f t="array" ref="G33">IFERROR(IF(INDEX(F$41:F$100, SMALL(IF($B$41:$B$100=1, ROW($B$41:$B$100)-ROW($B$41)+1), $B33))="#N/A N/A", 0, INDEX(F$41:F$100, SMALL(IF($B$41:$B$100=1, ROW($B$41:$B$100)-ROW($B$41)+1), $B33))), 0)</f>
        <v>0</v>
      </c>
      <c r="H33" s="285" cm="1">
        <f t="array" ref="H33">IFERROR(IF(INDEX(E$41:E$100, SMALL(IF($B$41:$B$100=1, ROW($B$41:$B$100)-ROW($B$41)+1), $B33))="#N/A N/A", 0, INDEX(E$41:E$100, SMALL(IF($B$41:$B$100=1, ROW($B$41:$B$100)-ROW($B$41)+1), $B33))), 0)</f>
        <v>0</v>
      </c>
      <c r="I33" s="234">
        <f>Time_Series!F83</f>
        <v>0</v>
      </c>
      <c r="J33" s="234">
        <f>Time_Series!G83</f>
        <v>0</v>
      </c>
      <c r="K33" s="234">
        <f>Time_Series!H83</f>
        <v>0</v>
      </c>
      <c r="L33" s="234">
        <f>Time_Series!I83</f>
        <v>0</v>
      </c>
      <c r="M33" s="234">
        <f>Time_Series!J83</f>
        <v>0</v>
      </c>
      <c r="N33" s="234">
        <f>Time_Series!K83</f>
        <v>0</v>
      </c>
      <c r="O33" s="234">
        <f>Time_Series!L83</f>
        <v>0</v>
      </c>
      <c r="P33" s="234">
        <f>Time_Series!M83</f>
        <v>0</v>
      </c>
      <c r="Q33" s="234">
        <f>Time_Series!N83</f>
        <v>0</v>
      </c>
      <c r="R33" s="234">
        <f>Time_Series!O83</f>
        <v>0</v>
      </c>
    </row>
    <row r="34" spans="2:20" x14ac:dyDescent="0.25">
      <c r="C34" s="94" t="s">
        <v>84</v>
      </c>
      <c r="D34" s="87" t="s">
        <v>85</v>
      </c>
      <c r="E34" s="95" t="e">
        <f t="shared" ref="E34:R34" si="11">(E33-D33)/D33</f>
        <v>#DIV/0!</v>
      </c>
      <c r="F34" s="95" t="e">
        <f t="shared" si="11"/>
        <v>#DIV/0!</v>
      </c>
      <c r="G34" s="95" t="e">
        <f t="shared" si="11"/>
        <v>#DIV/0!</v>
      </c>
      <c r="H34" s="95" t="e">
        <f t="shared" si="11"/>
        <v>#DIV/0!</v>
      </c>
      <c r="I34" s="95" t="e">
        <f>(I33-H33)/H33</f>
        <v>#DIV/0!</v>
      </c>
      <c r="J34" s="95" t="e">
        <f t="shared" si="11"/>
        <v>#DIV/0!</v>
      </c>
      <c r="K34" s="95" t="e">
        <f t="shared" si="11"/>
        <v>#DIV/0!</v>
      </c>
      <c r="L34" s="95" t="e">
        <f t="shared" si="11"/>
        <v>#DIV/0!</v>
      </c>
      <c r="M34" s="95" t="e">
        <f t="shared" si="11"/>
        <v>#DIV/0!</v>
      </c>
      <c r="N34" s="95" t="e">
        <f t="shared" si="11"/>
        <v>#DIV/0!</v>
      </c>
      <c r="O34" s="95" t="e">
        <f t="shared" si="11"/>
        <v>#DIV/0!</v>
      </c>
      <c r="P34" s="95" t="e">
        <f t="shared" si="11"/>
        <v>#DIV/0!</v>
      </c>
      <c r="Q34" s="95" t="e">
        <f t="shared" si="11"/>
        <v>#DIV/0!</v>
      </c>
      <c r="R34" s="95" t="e">
        <f t="shared" si="11"/>
        <v>#DIV/0!</v>
      </c>
    </row>
    <row r="36" spans="2:20" x14ac:dyDescent="0.25">
      <c r="C36" s="93" t="s">
        <v>205</v>
      </c>
      <c r="D36" s="242" cm="1">
        <f t="array" ref="D36">SUM(IF(MOD(ROW(D6:D34)-ROW(D6),3)=0, IFERROR(D6:D34, 0)))</f>
        <v>2528</v>
      </c>
      <c r="E36" s="242" cm="1">
        <f t="array" ref="E36">SUM(IF(MOD(ROW(E6:E34)-ROW(E6),3)=0, IFERROR(E6:E34, 0)))</f>
        <v>3628</v>
      </c>
      <c r="F36" s="242" cm="1">
        <f t="array" ref="F36">SUM(IF(MOD(ROW(F6:F34)-ROW(F6),3)=0, IFERROR(F6:F34, 0)))</f>
        <v>9570</v>
      </c>
      <c r="G36" s="242" cm="1">
        <f t="array" ref="G36">SUM(IF(MOD(ROW(G6:G34)-ROW(G6),3)=0, IFERROR(G6:G34, 0)))</f>
        <v>10821</v>
      </c>
      <c r="H36" s="242" cm="1">
        <f t="array" ref="H36">SUM(IF(MOD(ROW(H6:H34)-ROW(H6),3)=0, IFERROR(H6:H34, 0)))</f>
        <v>11528</v>
      </c>
      <c r="I36" s="242" cm="1">
        <f t="array" ref="I36">SUM(IF(MOD(ROW(I6:I34)-ROW(I6),3)=0, IFERROR(I6:I34, 0)))</f>
        <v>15902.995400604828</v>
      </c>
      <c r="J36" s="242" cm="1">
        <f t="array" ref="J36">SUM(IF(MOD(ROW(J6:J34)-ROW(J6),3)=0, IFERROR(J6:J34, 0)))</f>
        <v>22095.14461812477</v>
      </c>
      <c r="K36" s="242" cm="1">
        <f t="array" ref="K36">SUM(IF(MOD(ROW(K6:K34)-ROW(K6),3)=0, IFERROR(K6:K34, 0)))</f>
        <v>30929.375644418011</v>
      </c>
      <c r="L36" s="242" cm="1">
        <f t="array" ref="L36">SUM(IF(MOD(ROW(L6:L34)-ROW(L6),3)=0, IFERROR(L6:L34, 0)))</f>
        <v>43635.406367496049</v>
      </c>
      <c r="M36" s="242" cm="1">
        <f t="array" ref="M36">SUM(IF(MOD(ROW(M6:M34)-ROW(M6),3)=0, IFERROR(M6:M34, 0)))</f>
        <v>62059.101504694299</v>
      </c>
      <c r="N36" s="242" cm="1">
        <f t="array" ref="N36">SUM(IF(MOD(ROW(N6:N34)-ROW(N6),3)=0, IFERROR(N6:N34, 0)))</f>
        <v>88989.474612517981</v>
      </c>
      <c r="O36" s="242" cm="1">
        <f t="array" ref="O36">SUM(IF(MOD(ROW(O6:O34)-ROW(O6),3)=0, IFERROR(O6:O34, 0)))</f>
        <v>128666.82045432176</v>
      </c>
      <c r="P36" s="242" cm="1">
        <f t="array" ref="P36">SUM(IF(MOD(ROW(P6:P34)-ROW(P6),3)=0, IFERROR(P6:P34, 0)))</f>
        <v>187575.48423949748</v>
      </c>
      <c r="Q36" s="242" cm="1">
        <f t="array" ref="Q36">SUM(IF(MOD(ROW(Q6:Q34)-ROW(Q6),3)=0, IFERROR(Q6:Q34, 0)))</f>
        <v>275685.27897789812</v>
      </c>
      <c r="R36" s="242" cm="1">
        <f t="array" ref="R36">SUM(IF(MOD(ROW(R6:R34)-ROW(R6),3)=0, IFERROR(R6:R34, 0)))</f>
        <v>408402.02663502889</v>
      </c>
    </row>
    <row r="37" spans="2:20" x14ac:dyDescent="0.25">
      <c r="C37" s="94" t="s">
        <v>84</v>
      </c>
      <c r="D37" s="87" t="s">
        <v>85</v>
      </c>
      <c r="E37" s="95">
        <f t="shared" ref="E37:R37" si="12">(E36-D36)/D36</f>
        <v>0.435126582278481</v>
      </c>
      <c r="F37" s="95">
        <f t="shared" si="12"/>
        <v>1.6378169790518191</v>
      </c>
      <c r="G37" s="95">
        <f t="shared" si="12"/>
        <v>0.13072100313479623</v>
      </c>
      <c r="H37" s="95">
        <f t="shared" si="12"/>
        <v>6.5335920894556879E-2</v>
      </c>
      <c r="I37" s="95">
        <f>(I36-H36)/H36</f>
        <v>0.37951035744316691</v>
      </c>
      <c r="J37" s="95">
        <f t="shared" si="12"/>
        <v>0.3893699936104138</v>
      </c>
      <c r="K37" s="95">
        <f t="shared" si="12"/>
        <v>0.39982680262913833</v>
      </c>
      <c r="L37" s="95">
        <f t="shared" si="12"/>
        <v>0.41080786334499331</v>
      </c>
      <c r="M37" s="95">
        <f t="shared" si="12"/>
        <v>0.42221894261816784</v>
      </c>
      <c r="N37" s="95">
        <f t="shared" si="12"/>
        <v>0.43394719637999596</v>
      </c>
      <c r="O37" s="95">
        <f t="shared" si="12"/>
        <v>0.44586560393314695</v>
      </c>
      <c r="P37" s="95">
        <f t="shared" si="12"/>
        <v>0.45783880861569126</v>
      </c>
      <c r="Q37" s="95">
        <f t="shared" si="12"/>
        <v>0.46972980022219502</v>
      </c>
      <c r="R37" s="95">
        <f t="shared" si="12"/>
        <v>0.48140672635542048</v>
      </c>
    </row>
    <row r="39" spans="2:20" x14ac:dyDescent="0.25">
      <c r="C39" s="93"/>
      <c r="D39" s="97"/>
      <c r="E39" s="97"/>
      <c r="F39" s="97"/>
      <c r="G39" s="97"/>
      <c r="H39" s="97"/>
    </row>
    <row r="40" spans="2:20" x14ac:dyDescent="0.25">
      <c r="C40" s="94"/>
      <c r="D40" s="87"/>
      <c r="E40" s="87"/>
      <c r="F40" s="87"/>
      <c r="G40" s="87"/>
      <c r="H40" s="87"/>
    </row>
    <row r="41" spans="2:20" x14ac:dyDescent="0.25">
      <c r="B41" s="71">
        <f>IF(C41="", 0, IF(D41=U$7,1,IF(D41&gt;U$7,0,(IF(D42&gt;D41,0,1)))))</f>
        <v>1</v>
      </c>
      <c r="C41" s="283" t="str">
        <f>_xll.BDS(Hub!D4, "PG_REVENUE","EQY_FUND_CRNCY", Hub!D8,"cols=18;rows=4")</f>
        <v>Casino &amp; Pari-Mutuel Commissions</v>
      </c>
      <c r="D41" s="328">
        <v>1</v>
      </c>
      <c r="E41" s="241">
        <v>6367</v>
      </c>
      <c r="F41" s="241">
        <v>5997</v>
      </c>
      <c r="G41" s="241">
        <v>5827</v>
      </c>
      <c r="H41" s="241">
        <v>2482</v>
      </c>
      <c r="I41" s="327">
        <v>1808</v>
      </c>
      <c r="J41" s="327" t="s">
        <v>399</v>
      </c>
      <c r="K41" s="327" t="s">
        <v>399</v>
      </c>
      <c r="L41" s="327" t="s">
        <v>399</v>
      </c>
      <c r="M41" s="327" t="s">
        <v>399</v>
      </c>
      <c r="N41" s="327" t="s">
        <v>399</v>
      </c>
      <c r="O41" s="327" t="s">
        <v>399</v>
      </c>
      <c r="P41" s="327" t="s">
        <v>399</v>
      </c>
      <c r="Q41" s="327" t="s">
        <v>399</v>
      </c>
      <c r="R41" s="327" t="s">
        <v>399</v>
      </c>
      <c r="S41" s="327" t="s">
        <v>399</v>
      </c>
      <c r="T41" s="327" t="s">
        <v>399</v>
      </c>
    </row>
    <row r="42" spans="2:20" ht="15" customHeight="1" x14ac:dyDescent="0.25">
      <c r="B42" s="71">
        <f t="shared" ref="B42:B100" si="13">IF(C42="", 0, IF(D42=U$7,1,IF(D42&gt;U$7,0,(IF(D43&gt;D42,0,1)))))</f>
        <v>1</v>
      </c>
      <c r="C42" s="283" t="s">
        <v>474</v>
      </c>
      <c r="D42" s="329">
        <v>1</v>
      </c>
      <c r="E42" s="241">
        <v>2090</v>
      </c>
      <c r="F42" s="241">
        <v>1957</v>
      </c>
      <c r="G42" s="241">
        <v>1551</v>
      </c>
      <c r="H42" s="241">
        <v>450</v>
      </c>
      <c r="I42" s="252">
        <v>300</v>
      </c>
      <c r="J42" s="327" t="s">
        <v>399</v>
      </c>
      <c r="K42" s="327" t="s">
        <v>399</v>
      </c>
      <c r="L42" s="327" t="s">
        <v>399</v>
      </c>
      <c r="M42" s="327" t="s">
        <v>399</v>
      </c>
      <c r="N42" s="327" t="s">
        <v>399</v>
      </c>
      <c r="O42" s="327" t="s">
        <v>399</v>
      </c>
      <c r="P42" s="327" t="s">
        <v>399</v>
      </c>
      <c r="Q42" s="327" t="s">
        <v>399</v>
      </c>
      <c r="R42" s="327" t="s">
        <v>399</v>
      </c>
      <c r="S42" s="327" t="s">
        <v>399</v>
      </c>
      <c r="T42" s="327" t="s">
        <v>399</v>
      </c>
    </row>
    <row r="43" spans="2:20" x14ac:dyDescent="0.25">
      <c r="B43" s="71">
        <f t="shared" si="13"/>
        <v>1</v>
      </c>
      <c r="C43" s="284" t="s">
        <v>475</v>
      </c>
      <c r="D43" s="330">
        <v>1</v>
      </c>
      <c r="E43" s="241">
        <v>1728</v>
      </c>
      <c r="F43" s="241">
        <v>1596</v>
      </c>
      <c r="G43" s="241">
        <v>1140</v>
      </c>
      <c r="H43" s="241">
        <v>342</v>
      </c>
      <c r="I43" s="327">
        <v>301</v>
      </c>
      <c r="J43" s="327" t="s">
        <v>399</v>
      </c>
      <c r="K43" s="327" t="s">
        <v>399</v>
      </c>
      <c r="L43" s="327" t="s">
        <v>399</v>
      </c>
      <c r="M43" s="327" t="s">
        <v>399</v>
      </c>
      <c r="N43" s="327" t="s">
        <v>399</v>
      </c>
      <c r="O43" s="327" t="s">
        <v>399</v>
      </c>
      <c r="P43" s="327" t="s">
        <v>399</v>
      </c>
      <c r="Q43" s="327" t="s">
        <v>399</v>
      </c>
      <c r="R43" s="327" t="s">
        <v>399</v>
      </c>
      <c r="S43" s="327" t="s">
        <v>399</v>
      </c>
      <c r="T43" s="327" t="s">
        <v>399</v>
      </c>
    </row>
    <row r="44" spans="2:20" x14ac:dyDescent="0.25">
      <c r="B44" s="71">
        <f t="shared" si="13"/>
        <v>1</v>
      </c>
      <c r="C44" s="283" t="s">
        <v>476</v>
      </c>
      <c r="D44" s="328">
        <v>1</v>
      </c>
      <c r="E44" s="241">
        <v>1343</v>
      </c>
      <c r="F44" s="241">
        <v>1271</v>
      </c>
      <c r="G44" s="241">
        <v>1052</v>
      </c>
      <c r="H44" s="241">
        <v>354</v>
      </c>
      <c r="I44" s="327">
        <v>119</v>
      </c>
      <c r="J44" s="327" t="s">
        <v>399</v>
      </c>
      <c r="K44" s="327" t="s">
        <v>399</v>
      </c>
      <c r="L44" s="327" t="s">
        <v>399</v>
      </c>
      <c r="M44" s="327" t="s">
        <v>399</v>
      </c>
      <c r="N44" s="327" t="s">
        <v>399</v>
      </c>
      <c r="O44" s="327" t="s">
        <v>399</v>
      </c>
      <c r="P44" s="327" t="s">
        <v>399</v>
      </c>
      <c r="Q44" s="327" t="s">
        <v>399</v>
      </c>
      <c r="R44" s="327" t="s">
        <v>399</v>
      </c>
      <c r="S44" s="327" t="s">
        <v>399</v>
      </c>
      <c r="T44" s="327" t="s">
        <v>399</v>
      </c>
    </row>
    <row r="45" spans="2:20" x14ac:dyDescent="0.25">
      <c r="B45" s="71">
        <f t="shared" si="13"/>
        <v>0</v>
      </c>
      <c r="C45" s="283"/>
      <c r="D45" s="328"/>
      <c r="E45" s="241"/>
      <c r="F45" s="241"/>
      <c r="G45" s="241"/>
      <c r="H45" s="241"/>
      <c r="I45" s="327"/>
      <c r="J45" s="327"/>
      <c r="K45" s="327"/>
      <c r="L45" s="327"/>
      <c r="M45" s="327"/>
      <c r="N45" s="327"/>
      <c r="O45" s="327"/>
      <c r="P45" s="327"/>
      <c r="Q45" s="327"/>
      <c r="R45" s="327"/>
      <c r="S45" s="327"/>
      <c r="T45" s="327"/>
    </row>
    <row r="46" spans="2:20" x14ac:dyDescent="0.25">
      <c r="B46" s="71">
        <f t="shared" si="13"/>
        <v>0</v>
      </c>
      <c r="C46" s="283"/>
      <c r="D46" s="328"/>
      <c r="E46" s="241"/>
      <c r="F46" s="241"/>
      <c r="G46" s="241"/>
      <c r="H46" s="241"/>
      <c r="I46" s="327"/>
      <c r="J46" s="327"/>
      <c r="K46" s="327"/>
      <c r="L46" s="327"/>
      <c r="M46" s="327"/>
      <c r="N46" s="327"/>
      <c r="O46" s="327"/>
      <c r="P46" s="327"/>
      <c r="Q46" s="327"/>
      <c r="R46" s="327"/>
      <c r="S46" s="327"/>
      <c r="T46" s="327"/>
    </row>
    <row r="47" spans="2:20" x14ac:dyDescent="0.25">
      <c r="B47" s="71">
        <f t="shared" si="13"/>
        <v>0</v>
      </c>
      <c r="D47" s="328"/>
      <c r="E47" s="241"/>
      <c r="F47" s="241"/>
      <c r="G47" s="241"/>
      <c r="H47" s="241"/>
      <c r="I47" s="234"/>
      <c r="J47" s="234"/>
      <c r="K47" s="234"/>
      <c r="L47" s="234"/>
      <c r="M47" s="234"/>
      <c r="N47" s="234"/>
      <c r="O47" s="234"/>
      <c r="P47" s="234"/>
      <c r="Q47" s="234"/>
      <c r="R47" s="234"/>
      <c r="S47" s="234"/>
      <c r="T47" s="234"/>
    </row>
    <row r="48" spans="2:20" x14ac:dyDescent="0.25">
      <c r="B48" s="71">
        <f t="shared" si="13"/>
        <v>0</v>
      </c>
      <c r="D48" s="328"/>
      <c r="E48" s="241"/>
      <c r="F48" s="241"/>
      <c r="G48" s="241"/>
      <c r="H48" s="241"/>
      <c r="I48" s="234"/>
      <c r="J48" s="234"/>
      <c r="K48" s="234"/>
      <c r="L48" s="234"/>
      <c r="M48" s="234"/>
      <c r="N48" s="234"/>
      <c r="O48" s="234"/>
      <c r="P48" s="234"/>
      <c r="Q48" s="234"/>
      <c r="R48" s="234"/>
      <c r="S48" s="234"/>
      <c r="T48" s="234"/>
    </row>
    <row r="49" spans="2:20" x14ac:dyDescent="0.25">
      <c r="B49" s="71">
        <f t="shared" si="13"/>
        <v>0</v>
      </c>
      <c r="D49" s="328"/>
      <c r="E49" s="241"/>
      <c r="F49" s="241"/>
      <c r="G49" s="241"/>
      <c r="H49" s="241"/>
      <c r="I49" s="234"/>
      <c r="J49" s="234"/>
      <c r="K49" s="234"/>
      <c r="L49" s="234"/>
      <c r="M49" s="234"/>
      <c r="N49" s="234"/>
      <c r="O49" s="234"/>
      <c r="P49" s="234"/>
      <c r="Q49" s="234"/>
      <c r="R49" s="234"/>
      <c r="S49" s="234"/>
      <c r="T49" s="234"/>
    </row>
    <row r="50" spans="2:20" x14ac:dyDescent="0.25">
      <c r="B50" s="71">
        <f t="shared" si="13"/>
        <v>0</v>
      </c>
      <c r="D50" s="328"/>
      <c r="E50" s="241"/>
      <c r="F50" s="241"/>
      <c r="G50" s="241"/>
      <c r="H50" s="241"/>
      <c r="I50" s="234"/>
      <c r="J50" s="234"/>
      <c r="K50" s="234"/>
      <c r="L50" s="234"/>
      <c r="M50" s="234"/>
      <c r="N50" s="234"/>
      <c r="O50" s="234"/>
      <c r="P50" s="234"/>
      <c r="Q50" s="234"/>
      <c r="R50" s="234"/>
      <c r="S50" s="234"/>
      <c r="T50" s="234"/>
    </row>
    <row r="51" spans="2:20" x14ac:dyDescent="0.25">
      <c r="B51" s="71">
        <f t="shared" si="13"/>
        <v>0</v>
      </c>
      <c r="D51" s="328"/>
      <c r="E51" s="241"/>
      <c r="F51" s="241"/>
      <c r="G51" s="241"/>
      <c r="H51" s="241"/>
      <c r="I51" s="234"/>
      <c r="J51" s="234"/>
      <c r="K51" s="234"/>
      <c r="L51" s="234"/>
      <c r="M51" s="234"/>
      <c r="N51" s="234"/>
      <c r="O51" s="234"/>
      <c r="P51" s="234"/>
      <c r="Q51" s="234"/>
      <c r="R51" s="234"/>
      <c r="S51" s="234"/>
      <c r="T51" s="234"/>
    </row>
    <row r="52" spans="2:20" x14ac:dyDescent="0.25">
      <c r="B52" s="71">
        <f t="shared" si="13"/>
        <v>0</v>
      </c>
      <c r="D52" s="328"/>
      <c r="E52" s="241"/>
      <c r="F52" s="241"/>
      <c r="G52" s="241"/>
      <c r="H52" s="241"/>
      <c r="I52" s="234"/>
      <c r="J52" s="234"/>
      <c r="K52" s="234"/>
      <c r="L52" s="234"/>
      <c r="M52" s="234"/>
      <c r="N52" s="234"/>
      <c r="O52" s="234"/>
      <c r="P52" s="234"/>
      <c r="Q52" s="234"/>
      <c r="R52" s="234"/>
      <c r="S52" s="234"/>
      <c r="T52" s="234"/>
    </row>
    <row r="53" spans="2:20" x14ac:dyDescent="0.25">
      <c r="B53" s="71">
        <f t="shared" si="13"/>
        <v>0</v>
      </c>
      <c r="D53" s="328"/>
      <c r="E53" s="241"/>
      <c r="F53" s="241"/>
      <c r="G53" s="241"/>
      <c r="H53" s="241"/>
      <c r="I53" s="234"/>
      <c r="J53" s="234"/>
      <c r="K53" s="234"/>
      <c r="L53" s="234"/>
      <c r="M53" s="234"/>
      <c r="N53" s="234"/>
      <c r="O53" s="234"/>
      <c r="P53" s="234"/>
      <c r="Q53" s="234"/>
      <c r="R53" s="234"/>
      <c r="S53" s="234"/>
      <c r="T53" s="234"/>
    </row>
    <row r="54" spans="2:20" x14ac:dyDescent="0.25">
      <c r="B54" s="71">
        <f t="shared" si="13"/>
        <v>0</v>
      </c>
      <c r="D54" s="328"/>
      <c r="E54" s="241"/>
      <c r="F54" s="241"/>
      <c r="G54" s="241"/>
      <c r="H54" s="241"/>
      <c r="I54" s="234"/>
      <c r="J54" s="234"/>
      <c r="K54" s="234"/>
      <c r="L54" s="234"/>
      <c r="M54" s="234"/>
      <c r="N54" s="234"/>
      <c r="O54" s="234"/>
      <c r="P54" s="234"/>
      <c r="Q54" s="234"/>
      <c r="R54" s="234"/>
      <c r="S54" s="234"/>
      <c r="T54" s="234"/>
    </row>
    <row r="55" spans="2:20" x14ac:dyDescent="0.25">
      <c r="B55" s="71">
        <f t="shared" si="13"/>
        <v>0</v>
      </c>
      <c r="D55" s="328"/>
      <c r="E55" s="241"/>
      <c r="F55" s="241"/>
      <c r="G55" s="241"/>
      <c r="H55" s="241"/>
      <c r="I55" s="234"/>
      <c r="J55" s="234"/>
      <c r="K55" s="234"/>
      <c r="L55" s="234"/>
      <c r="M55" s="234"/>
      <c r="N55" s="234"/>
      <c r="O55" s="234"/>
      <c r="P55" s="234"/>
      <c r="Q55" s="234"/>
      <c r="R55" s="234"/>
      <c r="S55" s="234"/>
      <c r="T55" s="234"/>
    </row>
    <row r="56" spans="2:20" x14ac:dyDescent="0.25">
      <c r="B56" s="71">
        <f t="shared" si="13"/>
        <v>0</v>
      </c>
      <c r="D56" s="328"/>
      <c r="E56" s="241"/>
      <c r="F56" s="241"/>
      <c r="G56" s="241"/>
      <c r="H56" s="241"/>
      <c r="I56" s="234"/>
      <c r="J56" s="234"/>
      <c r="K56" s="234"/>
      <c r="L56" s="234"/>
      <c r="M56" s="234"/>
      <c r="N56" s="234"/>
      <c r="O56" s="234"/>
      <c r="P56" s="234"/>
      <c r="Q56" s="234"/>
      <c r="R56" s="234"/>
      <c r="S56" s="234"/>
      <c r="T56" s="234"/>
    </row>
    <row r="57" spans="2:20" x14ac:dyDescent="0.25">
      <c r="B57" s="71">
        <f t="shared" si="13"/>
        <v>0</v>
      </c>
      <c r="D57" s="328"/>
      <c r="E57" s="241"/>
      <c r="F57" s="241"/>
      <c r="G57" s="241"/>
      <c r="H57" s="241"/>
      <c r="I57" s="234"/>
      <c r="J57" s="234"/>
      <c r="K57" s="234"/>
      <c r="L57" s="234"/>
      <c r="M57" s="234"/>
      <c r="N57" s="234"/>
      <c r="O57" s="234"/>
      <c r="P57" s="234"/>
      <c r="Q57" s="234"/>
      <c r="R57" s="234"/>
      <c r="S57" s="234"/>
      <c r="T57" s="234"/>
    </row>
    <row r="58" spans="2:20" x14ac:dyDescent="0.25">
      <c r="B58" s="71">
        <f t="shared" si="13"/>
        <v>0</v>
      </c>
      <c r="D58" s="328"/>
      <c r="E58" s="241"/>
      <c r="F58" s="241"/>
      <c r="G58" s="241"/>
      <c r="H58" s="241"/>
      <c r="I58" s="234"/>
      <c r="J58" s="234"/>
      <c r="K58" s="234"/>
      <c r="L58" s="234"/>
      <c r="M58" s="234"/>
      <c r="N58" s="234"/>
      <c r="O58" s="234"/>
      <c r="P58" s="234"/>
      <c r="Q58" s="234"/>
      <c r="R58" s="234"/>
      <c r="S58" s="234"/>
      <c r="T58" s="234"/>
    </row>
    <row r="59" spans="2:20" x14ac:dyDescent="0.25">
      <c r="B59" s="71">
        <f t="shared" si="13"/>
        <v>0</v>
      </c>
      <c r="D59" s="328"/>
      <c r="E59" s="241"/>
      <c r="F59" s="241"/>
      <c r="G59" s="241"/>
      <c r="H59" s="241"/>
      <c r="I59" s="234"/>
      <c r="J59" s="234"/>
      <c r="K59" s="234"/>
      <c r="L59" s="234"/>
      <c r="M59" s="234"/>
      <c r="N59" s="234"/>
      <c r="O59" s="234"/>
      <c r="P59" s="234"/>
      <c r="Q59" s="234"/>
      <c r="R59" s="234"/>
      <c r="S59" s="234"/>
      <c r="T59" s="234"/>
    </row>
    <row r="60" spans="2:20" x14ac:dyDescent="0.25">
      <c r="B60" s="71">
        <f t="shared" si="13"/>
        <v>0</v>
      </c>
      <c r="D60" s="328"/>
      <c r="E60" s="252"/>
      <c r="F60" s="241"/>
      <c r="G60" s="241"/>
      <c r="H60" s="241"/>
      <c r="I60" s="234"/>
      <c r="J60" s="234"/>
      <c r="K60" s="234"/>
      <c r="L60" s="234"/>
      <c r="M60" s="234"/>
      <c r="N60" s="234"/>
      <c r="O60" s="234"/>
      <c r="P60" s="234"/>
      <c r="Q60" s="234"/>
      <c r="R60" s="234"/>
      <c r="S60" s="234"/>
      <c r="T60" s="234"/>
    </row>
    <row r="61" spans="2:20" x14ac:dyDescent="0.25">
      <c r="B61" s="71">
        <f t="shared" si="13"/>
        <v>0</v>
      </c>
      <c r="D61" s="328"/>
      <c r="E61" s="241"/>
      <c r="F61" s="241"/>
      <c r="G61" s="241"/>
      <c r="H61" s="241"/>
      <c r="I61" s="234"/>
      <c r="J61" s="234"/>
      <c r="K61" s="234"/>
      <c r="L61" s="234"/>
      <c r="M61" s="234"/>
      <c r="N61" s="234"/>
      <c r="O61" s="234"/>
      <c r="P61" s="234"/>
      <c r="Q61" s="234"/>
      <c r="R61" s="234"/>
      <c r="S61" s="234"/>
      <c r="T61" s="234"/>
    </row>
    <row r="62" spans="2:20" x14ac:dyDescent="0.25">
      <c r="B62" s="71">
        <f t="shared" si="13"/>
        <v>0</v>
      </c>
      <c r="D62" s="328"/>
      <c r="E62" s="241"/>
      <c r="F62" s="241"/>
      <c r="G62" s="241"/>
      <c r="H62" s="241"/>
      <c r="I62" s="234"/>
      <c r="J62" s="234"/>
      <c r="K62" s="234"/>
      <c r="L62" s="234"/>
      <c r="M62" s="234"/>
      <c r="N62" s="234"/>
      <c r="O62" s="234"/>
      <c r="P62" s="234"/>
      <c r="Q62" s="234"/>
      <c r="R62" s="234"/>
      <c r="S62" s="234"/>
      <c r="T62" s="234"/>
    </row>
    <row r="63" spans="2:20" x14ac:dyDescent="0.25">
      <c r="B63" s="71">
        <f t="shared" si="13"/>
        <v>0</v>
      </c>
      <c r="D63" s="328"/>
      <c r="E63" s="241"/>
      <c r="F63" s="241"/>
      <c r="G63" s="241"/>
      <c r="H63" s="241"/>
      <c r="I63" s="234"/>
      <c r="J63" s="234"/>
      <c r="K63" s="234"/>
      <c r="L63" s="234"/>
      <c r="M63" s="234"/>
      <c r="N63" s="234"/>
      <c r="O63" s="234"/>
      <c r="P63" s="234"/>
      <c r="Q63" s="234"/>
      <c r="R63" s="234"/>
      <c r="S63" s="234"/>
      <c r="T63" s="234"/>
    </row>
    <row r="64" spans="2:20" x14ac:dyDescent="0.25">
      <c r="B64" s="71">
        <f t="shared" si="13"/>
        <v>0</v>
      </c>
      <c r="D64" s="328"/>
      <c r="E64" s="241"/>
      <c r="F64" s="241"/>
      <c r="G64" s="241"/>
      <c r="H64" s="241"/>
      <c r="I64" s="234"/>
      <c r="J64" s="234"/>
      <c r="K64" s="234"/>
      <c r="L64" s="234"/>
      <c r="M64" s="234"/>
      <c r="N64" s="234"/>
      <c r="O64" s="234"/>
      <c r="P64" s="234"/>
      <c r="Q64" s="234"/>
      <c r="R64" s="234"/>
      <c r="S64" s="234"/>
      <c r="T64" s="234"/>
    </row>
    <row r="65" spans="2:20" x14ac:dyDescent="0.25">
      <c r="B65" s="71">
        <f t="shared" si="13"/>
        <v>0</v>
      </c>
      <c r="D65" s="328"/>
      <c r="E65" s="241"/>
      <c r="F65" s="241"/>
      <c r="G65" s="241"/>
      <c r="H65" s="241"/>
      <c r="I65" s="234"/>
      <c r="J65" s="234"/>
      <c r="K65" s="234"/>
      <c r="L65" s="234"/>
      <c r="M65" s="234"/>
      <c r="N65" s="234"/>
      <c r="O65" s="234"/>
      <c r="P65" s="234"/>
      <c r="Q65" s="234"/>
      <c r="R65" s="234"/>
      <c r="S65" s="234"/>
      <c r="T65" s="234"/>
    </row>
    <row r="66" spans="2:20" x14ac:dyDescent="0.25">
      <c r="B66" s="71">
        <f t="shared" si="13"/>
        <v>0</v>
      </c>
      <c r="D66" s="328"/>
      <c r="E66" s="241"/>
      <c r="F66" s="241"/>
      <c r="G66" s="241"/>
      <c r="H66" s="241"/>
      <c r="I66" s="234"/>
      <c r="J66" s="234"/>
      <c r="K66" s="234"/>
      <c r="L66" s="234"/>
      <c r="M66" s="234"/>
      <c r="N66" s="234"/>
      <c r="O66" s="234"/>
      <c r="P66" s="234"/>
      <c r="Q66" s="234"/>
      <c r="R66" s="234"/>
      <c r="S66" s="234"/>
      <c r="T66" s="234"/>
    </row>
    <row r="67" spans="2:20" x14ac:dyDescent="0.25">
      <c r="B67" s="71">
        <f t="shared" si="13"/>
        <v>0</v>
      </c>
      <c r="D67" s="328"/>
      <c r="E67" s="241"/>
      <c r="F67" s="241"/>
      <c r="G67" s="241"/>
      <c r="H67" s="241"/>
      <c r="I67" s="234"/>
      <c r="J67" s="234"/>
      <c r="K67" s="234"/>
      <c r="L67" s="234"/>
      <c r="M67" s="234"/>
      <c r="N67" s="234"/>
      <c r="O67" s="234"/>
      <c r="P67" s="234"/>
      <c r="Q67" s="234"/>
      <c r="R67" s="234"/>
      <c r="S67" s="234"/>
      <c r="T67" s="234"/>
    </row>
    <row r="68" spans="2:20" x14ac:dyDescent="0.25">
      <c r="B68" s="71">
        <f t="shared" si="13"/>
        <v>0</v>
      </c>
      <c r="D68" s="328"/>
      <c r="E68" s="241"/>
      <c r="F68" s="241"/>
      <c r="G68" s="241"/>
      <c r="H68" s="241"/>
      <c r="I68" s="234"/>
      <c r="J68" s="234"/>
      <c r="K68" s="234"/>
      <c r="L68" s="234"/>
      <c r="M68" s="234"/>
      <c r="N68" s="234"/>
      <c r="O68" s="234"/>
      <c r="P68" s="234"/>
      <c r="Q68" s="234"/>
      <c r="R68" s="234"/>
      <c r="S68" s="234"/>
      <c r="T68" s="234"/>
    </row>
    <row r="69" spans="2:20" x14ac:dyDescent="0.25">
      <c r="B69" s="71">
        <f t="shared" si="13"/>
        <v>0</v>
      </c>
      <c r="D69" s="328"/>
      <c r="E69" s="241"/>
      <c r="F69" s="241"/>
      <c r="G69" s="241"/>
      <c r="H69" s="241"/>
      <c r="I69" s="234"/>
      <c r="J69" s="234"/>
      <c r="K69" s="234"/>
      <c r="L69" s="234"/>
      <c r="M69" s="234"/>
      <c r="N69" s="234"/>
      <c r="O69" s="234"/>
      <c r="P69" s="234"/>
      <c r="Q69" s="234"/>
      <c r="R69" s="234"/>
      <c r="S69" s="234"/>
      <c r="T69" s="234"/>
    </row>
    <row r="70" spans="2:20" x14ac:dyDescent="0.25">
      <c r="B70" s="71">
        <f t="shared" si="13"/>
        <v>0</v>
      </c>
      <c r="D70" s="328"/>
      <c r="E70" s="241"/>
      <c r="F70" s="241"/>
      <c r="G70" s="241"/>
      <c r="H70" s="241"/>
      <c r="I70" s="234"/>
      <c r="J70" s="234"/>
      <c r="K70" s="234"/>
      <c r="L70" s="234"/>
      <c r="M70" s="234"/>
      <c r="N70" s="234"/>
      <c r="O70" s="234"/>
      <c r="P70" s="234"/>
      <c r="Q70" s="234"/>
      <c r="R70" s="234"/>
      <c r="S70" s="234"/>
      <c r="T70" s="234"/>
    </row>
    <row r="71" spans="2:20" x14ac:dyDescent="0.25">
      <c r="B71" s="71">
        <f t="shared" si="13"/>
        <v>0</v>
      </c>
      <c r="D71" s="328"/>
      <c r="E71" s="241"/>
      <c r="F71" s="241"/>
      <c r="G71" s="241"/>
      <c r="H71" s="241"/>
      <c r="I71" s="234"/>
      <c r="J71" s="234"/>
      <c r="K71" s="234"/>
      <c r="L71" s="234"/>
      <c r="M71" s="234"/>
      <c r="N71" s="234"/>
      <c r="O71" s="234"/>
      <c r="P71" s="234"/>
      <c r="Q71" s="234"/>
      <c r="R71" s="234"/>
      <c r="S71" s="234"/>
      <c r="T71" s="234"/>
    </row>
    <row r="72" spans="2:20" x14ac:dyDescent="0.25">
      <c r="B72" s="71">
        <f t="shared" si="13"/>
        <v>0</v>
      </c>
      <c r="D72" s="328"/>
      <c r="E72" s="241"/>
      <c r="F72" s="241"/>
      <c r="G72" s="241"/>
      <c r="H72" s="241"/>
      <c r="I72" s="234"/>
      <c r="J72" s="234"/>
      <c r="K72" s="234"/>
      <c r="L72" s="234"/>
      <c r="M72" s="234"/>
      <c r="N72" s="234"/>
      <c r="O72" s="234"/>
      <c r="P72" s="234"/>
      <c r="Q72" s="234"/>
      <c r="R72" s="234"/>
      <c r="S72" s="234"/>
      <c r="T72" s="234"/>
    </row>
    <row r="73" spans="2:20" x14ac:dyDescent="0.25">
      <c r="B73" s="71">
        <f t="shared" si="13"/>
        <v>0</v>
      </c>
      <c r="D73" s="328"/>
      <c r="E73" s="241"/>
      <c r="F73" s="241"/>
      <c r="G73" s="241"/>
      <c r="H73" s="241"/>
      <c r="I73" s="234"/>
      <c r="J73" s="234"/>
      <c r="K73" s="234"/>
      <c r="L73" s="234"/>
      <c r="M73" s="234"/>
      <c r="N73" s="234"/>
      <c r="O73" s="234"/>
      <c r="P73" s="234"/>
      <c r="Q73" s="234"/>
      <c r="R73" s="234"/>
      <c r="S73" s="234"/>
      <c r="T73" s="234"/>
    </row>
    <row r="74" spans="2:20" x14ac:dyDescent="0.25">
      <c r="B74" s="71">
        <f t="shared" si="13"/>
        <v>0</v>
      </c>
      <c r="D74" s="328"/>
      <c r="E74" s="241"/>
      <c r="F74" s="241"/>
      <c r="G74" s="241"/>
      <c r="H74" s="241"/>
      <c r="I74" s="234"/>
      <c r="J74" s="234"/>
      <c r="K74" s="234"/>
      <c r="L74" s="234"/>
      <c r="M74" s="234"/>
      <c r="N74" s="234"/>
      <c r="O74" s="234"/>
      <c r="P74" s="234"/>
      <c r="Q74" s="234"/>
      <c r="R74" s="234"/>
      <c r="S74" s="234"/>
      <c r="T74" s="234"/>
    </row>
    <row r="75" spans="2:20" x14ac:dyDescent="0.25">
      <c r="B75" s="71">
        <f t="shared" si="13"/>
        <v>0</v>
      </c>
      <c r="D75" s="328"/>
      <c r="E75" s="241"/>
      <c r="F75" s="241"/>
      <c r="G75" s="241"/>
      <c r="H75" s="241"/>
      <c r="I75" s="234"/>
      <c r="J75" s="234"/>
      <c r="K75" s="234"/>
      <c r="L75" s="234"/>
      <c r="M75" s="234"/>
      <c r="N75" s="234"/>
      <c r="O75" s="234"/>
      <c r="P75" s="234"/>
      <c r="Q75" s="234"/>
      <c r="R75" s="234"/>
      <c r="S75" s="234"/>
      <c r="T75" s="234"/>
    </row>
    <row r="76" spans="2:20" x14ac:dyDescent="0.25">
      <c r="B76" s="71">
        <f t="shared" si="13"/>
        <v>0</v>
      </c>
      <c r="D76" s="328"/>
      <c r="E76" s="241"/>
      <c r="F76" s="241"/>
      <c r="G76" s="241"/>
      <c r="H76" s="241"/>
      <c r="I76" s="234"/>
      <c r="J76" s="234"/>
      <c r="K76" s="234"/>
      <c r="L76" s="234"/>
      <c r="M76" s="234"/>
      <c r="N76" s="234"/>
      <c r="O76" s="234"/>
      <c r="P76" s="234"/>
      <c r="Q76" s="234"/>
      <c r="R76" s="234"/>
      <c r="S76" s="234"/>
      <c r="T76" s="234"/>
    </row>
    <row r="77" spans="2:20" x14ac:dyDescent="0.25">
      <c r="B77" s="71">
        <f t="shared" si="13"/>
        <v>0</v>
      </c>
      <c r="D77" s="328"/>
      <c r="E77" s="241"/>
      <c r="F77" s="241"/>
      <c r="G77" s="241"/>
      <c r="H77" s="241"/>
      <c r="I77" s="234"/>
      <c r="J77" s="234"/>
      <c r="K77" s="234"/>
      <c r="L77" s="234"/>
      <c r="M77" s="234"/>
      <c r="N77" s="234"/>
      <c r="O77" s="234"/>
      <c r="P77" s="234"/>
      <c r="Q77" s="234"/>
      <c r="R77" s="234"/>
      <c r="S77" s="234"/>
      <c r="T77" s="234"/>
    </row>
    <row r="78" spans="2:20" x14ac:dyDescent="0.25">
      <c r="B78" s="71">
        <f t="shared" si="13"/>
        <v>0</v>
      </c>
      <c r="D78" s="328"/>
      <c r="E78" s="241"/>
      <c r="F78" s="241"/>
      <c r="G78" s="241"/>
      <c r="H78" s="241"/>
      <c r="I78" s="234"/>
      <c r="J78" s="234"/>
      <c r="K78" s="234"/>
      <c r="L78" s="234"/>
      <c r="M78" s="234"/>
      <c r="N78" s="234"/>
      <c r="O78" s="234"/>
      <c r="P78" s="234"/>
      <c r="Q78" s="234"/>
      <c r="R78" s="234"/>
      <c r="S78" s="234"/>
      <c r="T78" s="234"/>
    </row>
    <row r="79" spans="2:20" x14ac:dyDescent="0.25">
      <c r="B79" s="71">
        <f t="shared" si="13"/>
        <v>0</v>
      </c>
      <c r="D79" s="328"/>
      <c r="E79" s="241"/>
      <c r="F79" s="241"/>
      <c r="G79" s="241"/>
      <c r="H79" s="241"/>
      <c r="I79" s="234"/>
      <c r="J79" s="234"/>
      <c r="K79" s="234"/>
      <c r="L79" s="234"/>
      <c r="M79" s="234"/>
      <c r="N79" s="234"/>
      <c r="O79" s="234"/>
      <c r="P79" s="234"/>
      <c r="Q79" s="234"/>
      <c r="R79" s="234"/>
      <c r="S79" s="234"/>
      <c r="T79" s="234"/>
    </row>
    <row r="80" spans="2:20" x14ac:dyDescent="0.25">
      <c r="B80" s="71">
        <f t="shared" si="13"/>
        <v>0</v>
      </c>
      <c r="D80" s="328"/>
      <c r="E80" s="241"/>
      <c r="F80" s="241"/>
      <c r="G80" s="241"/>
      <c r="H80" s="241"/>
      <c r="I80" s="234"/>
      <c r="J80" s="234"/>
      <c r="K80" s="234"/>
      <c r="L80" s="234"/>
      <c r="M80" s="234"/>
      <c r="N80" s="234"/>
      <c r="O80" s="234"/>
      <c r="P80" s="234"/>
      <c r="Q80" s="234"/>
      <c r="R80" s="234"/>
      <c r="S80" s="234"/>
      <c r="T80" s="234"/>
    </row>
    <row r="81" spans="2:20" x14ac:dyDescent="0.25">
      <c r="B81" s="71">
        <f t="shared" si="13"/>
        <v>0</v>
      </c>
      <c r="D81" s="328"/>
      <c r="E81" s="241"/>
      <c r="F81" s="241"/>
      <c r="G81" s="241"/>
      <c r="H81" s="241"/>
      <c r="I81" s="234"/>
      <c r="J81" s="234"/>
      <c r="K81" s="234"/>
      <c r="L81" s="234"/>
      <c r="M81" s="234"/>
      <c r="N81" s="234"/>
      <c r="O81" s="234"/>
      <c r="P81" s="234"/>
      <c r="Q81" s="234"/>
      <c r="R81" s="234"/>
      <c r="S81" s="234"/>
      <c r="T81" s="234"/>
    </row>
    <row r="82" spans="2:20" x14ac:dyDescent="0.25">
      <c r="B82" s="71">
        <f t="shared" si="13"/>
        <v>0</v>
      </c>
      <c r="D82" s="328"/>
      <c r="E82" s="241"/>
      <c r="F82" s="241"/>
      <c r="G82" s="241"/>
      <c r="H82" s="241"/>
      <c r="I82" s="234"/>
      <c r="J82" s="234"/>
      <c r="K82" s="234"/>
      <c r="L82" s="234"/>
      <c r="M82" s="234"/>
      <c r="N82" s="234"/>
      <c r="O82" s="234"/>
      <c r="P82" s="234"/>
      <c r="Q82" s="234"/>
      <c r="R82" s="234"/>
      <c r="S82" s="234"/>
      <c r="T82" s="234"/>
    </row>
    <row r="83" spans="2:20" x14ac:dyDescent="0.25">
      <c r="B83" s="71">
        <f t="shared" si="13"/>
        <v>0</v>
      </c>
      <c r="D83" s="328"/>
      <c r="E83" s="241"/>
      <c r="F83" s="241"/>
      <c r="G83" s="241"/>
      <c r="H83" s="241"/>
      <c r="I83" s="234"/>
      <c r="J83" s="234"/>
      <c r="K83" s="234"/>
      <c r="L83" s="234"/>
      <c r="M83" s="234"/>
      <c r="N83" s="234"/>
      <c r="O83" s="234"/>
      <c r="P83" s="234"/>
      <c r="Q83" s="234"/>
      <c r="R83" s="234"/>
      <c r="S83" s="234"/>
      <c r="T83" s="234"/>
    </row>
    <row r="84" spans="2:20" x14ac:dyDescent="0.25">
      <c r="B84" s="71">
        <f t="shared" si="13"/>
        <v>0</v>
      </c>
      <c r="D84" s="328"/>
      <c r="E84" s="241"/>
      <c r="F84" s="241"/>
      <c r="G84" s="241"/>
      <c r="H84" s="241"/>
      <c r="I84" s="234"/>
      <c r="J84" s="234"/>
      <c r="K84" s="234"/>
      <c r="L84" s="234"/>
      <c r="M84" s="234"/>
      <c r="N84" s="234"/>
      <c r="O84" s="234"/>
      <c r="P84" s="234"/>
      <c r="Q84" s="234"/>
      <c r="R84" s="234"/>
      <c r="S84" s="234"/>
      <c r="T84" s="234"/>
    </row>
    <row r="85" spans="2:20" x14ac:dyDescent="0.25">
      <c r="B85" s="71">
        <f t="shared" si="13"/>
        <v>0</v>
      </c>
      <c r="D85" s="328"/>
      <c r="E85" s="241"/>
      <c r="F85" s="241"/>
      <c r="G85" s="241"/>
      <c r="H85" s="241"/>
      <c r="I85" s="234"/>
      <c r="J85" s="234"/>
      <c r="K85" s="234"/>
      <c r="L85" s="234"/>
      <c r="M85" s="234"/>
      <c r="N85" s="234"/>
      <c r="O85" s="234"/>
      <c r="P85" s="234"/>
      <c r="Q85" s="234"/>
      <c r="R85" s="234"/>
      <c r="S85" s="234"/>
      <c r="T85" s="234"/>
    </row>
    <row r="86" spans="2:20" x14ac:dyDescent="0.25">
      <c r="B86" s="71">
        <f t="shared" si="13"/>
        <v>0</v>
      </c>
      <c r="D86" s="328"/>
      <c r="E86" s="241"/>
      <c r="F86" s="241"/>
      <c r="G86" s="241"/>
      <c r="H86" s="241"/>
      <c r="I86" s="234"/>
      <c r="J86" s="234"/>
      <c r="K86" s="234"/>
      <c r="L86" s="234"/>
      <c r="M86" s="234"/>
      <c r="N86" s="234"/>
      <c r="O86" s="234"/>
      <c r="P86" s="234"/>
      <c r="Q86" s="234"/>
      <c r="R86" s="234"/>
      <c r="S86" s="234"/>
      <c r="T86" s="234"/>
    </row>
    <row r="87" spans="2:20" x14ac:dyDescent="0.25">
      <c r="B87" s="71">
        <f t="shared" si="13"/>
        <v>0</v>
      </c>
      <c r="D87" s="328"/>
      <c r="E87" s="241"/>
      <c r="F87" s="241"/>
      <c r="G87" s="241"/>
      <c r="H87" s="241"/>
      <c r="I87" s="234"/>
      <c r="J87" s="234"/>
      <c r="K87" s="234"/>
      <c r="L87" s="234"/>
      <c r="M87" s="234"/>
      <c r="N87" s="234"/>
      <c r="O87" s="234"/>
      <c r="P87" s="234"/>
      <c r="Q87" s="234"/>
      <c r="R87" s="234"/>
      <c r="S87" s="234"/>
      <c r="T87" s="234"/>
    </row>
    <row r="88" spans="2:20" x14ac:dyDescent="0.25">
      <c r="B88" s="71">
        <f t="shared" si="13"/>
        <v>0</v>
      </c>
      <c r="D88" s="328"/>
      <c r="E88" s="241"/>
      <c r="F88" s="241"/>
      <c r="G88" s="241"/>
      <c r="H88" s="241"/>
      <c r="I88" s="234"/>
      <c r="J88" s="234"/>
      <c r="K88" s="234"/>
      <c r="L88" s="234"/>
      <c r="M88" s="234"/>
      <c r="N88" s="234"/>
      <c r="O88" s="234"/>
      <c r="P88" s="234"/>
      <c r="Q88" s="234"/>
      <c r="R88" s="234"/>
      <c r="S88" s="234"/>
      <c r="T88" s="234"/>
    </row>
    <row r="89" spans="2:20" x14ac:dyDescent="0.25">
      <c r="B89" s="71">
        <f t="shared" si="13"/>
        <v>0</v>
      </c>
      <c r="D89" s="328"/>
      <c r="E89" s="241"/>
      <c r="F89" s="241"/>
      <c r="G89" s="241"/>
      <c r="H89" s="241"/>
      <c r="I89" s="234"/>
      <c r="J89" s="234"/>
      <c r="K89" s="234"/>
      <c r="L89" s="234"/>
      <c r="M89" s="234"/>
      <c r="N89" s="234"/>
      <c r="O89" s="234"/>
      <c r="P89" s="234"/>
      <c r="Q89" s="234"/>
      <c r="R89" s="234"/>
      <c r="S89" s="234"/>
      <c r="T89" s="234"/>
    </row>
    <row r="90" spans="2:20" x14ac:dyDescent="0.25">
      <c r="B90" s="71">
        <f t="shared" si="13"/>
        <v>0</v>
      </c>
      <c r="D90" s="328"/>
      <c r="E90" s="241"/>
      <c r="F90" s="241"/>
      <c r="G90" s="241"/>
      <c r="H90" s="241"/>
      <c r="I90" s="234"/>
      <c r="J90" s="234"/>
      <c r="K90" s="234"/>
      <c r="L90" s="234"/>
      <c r="M90" s="234"/>
      <c r="N90" s="234"/>
      <c r="O90" s="234"/>
      <c r="P90" s="234"/>
      <c r="Q90" s="234"/>
      <c r="R90" s="234"/>
      <c r="S90" s="234"/>
      <c r="T90" s="234"/>
    </row>
    <row r="91" spans="2:20" x14ac:dyDescent="0.25">
      <c r="B91" s="71">
        <f t="shared" si="13"/>
        <v>0</v>
      </c>
      <c r="D91" s="328"/>
      <c r="E91" s="241"/>
      <c r="F91" s="241"/>
      <c r="G91" s="241"/>
      <c r="H91" s="241"/>
      <c r="I91" s="234"/>
      <c r="J91" s="234"/>
      <c r="K91" s="234"/>
      <c r="L91" s="234"/>
      <c r="M91" s="234"/>
      <c r="N91" s="234"/>
      <c r="O91" s="234"/>
      <c r="P91" s="234"/>
      <c r="Q91" s="234"/>
      <c r="R91" s="234"/>
      <c r="S91" s="234"/>
      <c r="T91" s="234"/>
    </row>
    <row r="92" spans="2:20" x14ac:dyDescent="0.25">
      <c r="B92" s="71">
        <f t="shared" si="13"/>
        <v>0</v>
      </c>
      <c r="D92" s="328"/>
      <c r="E92" s="241"/>
      <c r="F92" s="241"/>
      <c r="G92" s="241"/>
      <c r="H92" s="241"/>
      <c r="I92" s="234"/>
      <c r="J92" s="234"/>
      <c r="K92" s="234"/>
      <c r="L92" s="234"/>
      <c r="M92" s="234"/>
      <c r="N92" s="234"/>
      <c r="O92" s="234"/>
      <c r="P92" s="234"/>
      <c r="Q92" s="234"/>
      <c r="R92" s="234"/>
      <c r="S92" s="234"/>
      <c r="T92" s="234"/>
    </row>
    <row r="93" spans="2:20" x14ac:dyDescent="0.25">
      <c r="B93" s="71">
        <f t="shared" si="13"/>
        <v>0</v>
      </c>
      <c r="D93" s="328"/>
      <c r="E93" s="241"/>
      <c r="F93" s="241"/>
      <c r="G93" s="241"/>
      <c r="H93" s="241"/>
      <c r="I93" s="234"/>
      <c r="J93" s="234"/>
      <c r="K93" s="234"/>
      <c r="L93" s="234"/>
      <c r="M93" s="234"/>
      <c r="N93" s="234"/>
      <c r="O93" s="234"/>
      <c r="P93" s="234"/>
      <c r="Q93" s="234"/>
      <c r="R93" s="234"/>
      <c r="S93" s="234"/>
      <c r="T93" s="234"/>
    </row>
    <row r="94" spans="2:20" x14ac:dyDescent="0.25">
      <c r="B94" s="71">
        <f t="shared" si="13"/>
        <v>0</v>
      </c>
      <c r="D94" s="328"/>
      <c r="E94" s="241"/>
      <c r="F94" s="241"/>
      <c r="G94" s="241"/>
      <c r="H94" s="241"/>
      <c r="I94" s="234"/>
      <c r="J94" s="234"/>
      <c r="K94" s="234"/>
      <c r="L94" s="234"/>
      <c r="M94" s="234"/>
      <c r="N94" s="234"/>
      <c r="O94" s="234"/>
      <c r="P94" s="234"/>
      <c r="Q94" s="234"/>
      <c r="R94" s="234"/>
      <c r="S94" s="234"/>
      <c r="T94" s="234"/>
    </row>
    <row r="95" spans="2:20" x14ac:dyDescent="0.25">
      <c r="B95" s="71">
        <f t="shared" si="13"/>
        <v>0</v>
      </c>
      <c r="D95" s="328"/>
      <c r="E95" s="241"/>
      <c r="F95" s="241"/>
      <c r="G95" s="241"/>
      <c r="H95" s="241"/>
      <c r="I95" s="234"/>
      <c r="J95" s="234"/>
      <c r="K95" s="234"/>
      <c r="L95" s="234"/>
      <c r="M95" s="234"/>
      <c r="N95" s="234"/>
      <c r="O95" s="234"/>
      <c r="P95" s="234"/>
      <c r="Q95" s="234"/>
      <c r="R95" s="234"/>
      <c r="S95" s="234"/>
      <c r="T95" s="234"/>
    </row>
    <row r="96" spans="2:20" x14ac:dyDescent="0.25">
      <c r="B96" s="71">
        <f t="shared" si="13"/>
        <v>0</v>
      </c>
      <c r="D96" s="328"/>
      <c r="E96" s="241"/>
      <c r="F96" s="241"/>
      <c r="G96" s="241"/>
      <c r="H96" s="241"/>
      <c r="I96" s="234"/>
      <c r="J96" s="234"/>
      <c r="K96" s="234"/>
      <c r="L96" s="234"/>
      <c r="M96" s="234"/>
      <c r="N96" s="234"/>
      <c r="O96" s="234"/>
      <c r="P96" s="234"/>
      <c r="Q96" s="234"/>
      <c r="R96" s="234"/>
      <c r="S96" s="234"/>
      <c r="T96" s="234"/>
    </row>
    <row r="97" spans="2:20" x14ac:dyDescent="0.25">
      <c r="B97" s="71">
        <f t="shared" si="13"/>
        <v>0</v>
      </c>
      <c r="D97" s="328"/>
      <c r="E97" s="241"/>
      <c r="F97" s="241"/>
      <c r="G97" s="241"/>
      <c r="H97" s="241"/>
      <c r="I97" s="234"/>
      <c r="J97" s="234"/>
      <c r="K97" s="234"/>
      <c r="L97" s="234"/>
      <c r="M97" s="234"/>
      <c r="N97" s="234"/>
      <c r="O97" s="234"/>
      <c r="P97" s="234"/>
      <c r="Q97" s="234"/>
      <c r="R97" s="234"/>
      <c r="S97" s="234"/>
      <c r="T97" s="234"/>
    </row>
    <row r="98" spans="2:20" x14ac:dyDescent="0.25">
      <c r="B98" s="71">
        <f t="shared" si="13"/>
        <v>0</v>
      </c>
      <c r="D98" s="328"/>
      <c r="E98" s="241"/>
      <c r="F98" s="241"/>
      <c r="G98" s="241"/>
      <c r="H98" s="241"/>
      <c r="I98" s="234"/>
      <c r="J98" s="234"/>
      <c r="K98" s="234"/>
      <c r="L98" s="234"/>
      <c r="M98" s="234"/>
      <c r="N98" s="234"/>
      <c r="O98" s="234"/>
      <c r="P98" s="234"/>
      <c r="Q98" s="234"/>
      <c r="R98" s="234"/>
      <c r="S98" s="234"/>
      <c r="T98" s="234"/>
    </row>
    <row r="99" spans="2:20" x14ac:dyDescent="0.25">
      <c r="B99" s="71">
        <f t="shared" si="13"/>
        <v>0</v>
      </c>
      <c r="D99" s="328"/>
      <c r="E99" s="241"/>
      <c r="F99" s="241"/>
      <c r="G99" s="241"/>
      <c r="H99" s="241"/>
      <c r="I99" s="234"/>
      <c r="J99" s="234"/>
      <c r="K99" s="234"/>
      <c r="L99" s="234"/>
      <c r="M99" s="234"/>
      <c r="N99" s="234"/>
      <c r="O99" s="234"/>
      <c r="P99" s="234"/>
      <c r="Q99" s="234"/>
      <c r="R99" s="234"/>
      <c r="S99" s="234"/>
      <c r="T99" s="234"/>
    </row>
    <row r="100" spans="2:20" x14ac:dyDescent="0.25">
      <c r="B100" s="71">
        <f t="shared" si="13"/>
        <v>0</v>
      </c>
      <c r="D100" s="328"/>
      <c r="E100" s="241"/>
      <c r="F100" s="241"/>
      <c r="G100" s="241"/>
      <c r="H100" s="241"/>
      <c r="I100" s="234"/>
      <c r="J100" s="234"/>
      <c r="K100" s="234"/>
      <c r="L100" s="234"/>
      <c r="M100" s="234"/>
      <c r="N100" s="234"/>
      <c r="O100" s="234"/>
      <c r="P100" s="234"/>
      <c r="Q100" s="234"/>
      <c r="R100" s="234"/>
      <c r="S100" s="234"/>
      <c r="T100" s="234"/>
    </row>
  </sheetData>
  <mergeCells count="3">
    <mergeCell ref="D2:H2"/>
    <mergeCell ref="C3:C4"/>
    <mergeCell ref="I2:R2"/>
  </mergeCells>
  <dataValidations count="1">
    <dataValidation type="list" allowBlank="1" showInputMessage="1" showErrorMessage="1" sqref="U7" xr:uid="{98091094-D3E9-4A0F-B888-3D29C8914EBB}">
      <formula1>"1,2,3"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1" r:id="rId4" name="Button 1">
              <controlPr defaultSize="0" print="0" autoFill="0" autoPict="0" macro="[0]!BacktoHub">
                <anchor moveWithCells="1" sizeWithCells="1">
                  <from>
                    <xdr:col>18</xdr:col>
                    <xdr:colOff>419100</xdr:colOff>
                    <xdr:row>1</xdr:row>
                    <xdr:rowOff>28575</xdr:rowOff>
                  </from>
                  <to>
                    <xdr:col>20</xdr:col>
                    <xdr:colOff>390525</xdr:colOff>
                    <xdr:row>4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861C33-704C-4010-9A2D-4D149836677F}">
  <dimension ref="J20:AC86"/>
  <sheetViews>
    <sheetView topLeftCell="A10" workbookViewId="0">
      <selection activeCell="L25" sqref="L25"/>
    </sheetView>
  </sheetViews>
  <sheetFormatPr defaultRowHeight="15" x14ac:dyDescent="0.25"/>
  <cols>
    <col min="1" max="11" width="9.140625" style="71"/>
    <col min="12" max="12" width="51.7109375" style="71" customWidth="1"/>
    <col min="13" max="16384" width="9.140625" style="71"/>
  </cols>
  <sheetData>
    <row r="20" spans="10:29" x14ac:dyDescent="0.25">
      <c r="J20" s="338"/>
    </row>
    <row r="22" spans="10:29" x14ac:dyDescent="0.25">
      <c r="L22" s="71" t="str">
        <f>_xll.BDS(Hub!D4, "PG_REVENUE", "EQY_FUND_CRNCY", Hub!D8,"cols=18;rows=4")</f>
        <v>Casino &amp; Pari-Mutuel Commissions</v>
      </c>
      <c r="M22" s="71">
        <v>1</v>
      </c>
      <c r="N22" s="71">
        <v>6367</v>
      </c>
      <c r="O22" s="71">
        <v>5997</v>
      </c>
      <c r="P22" s="71">
        <v>5827</v>
      </c>
      <c r="Q22" s="71">
        <v>2482</v>
      </c>
      <c r="R22" s="71">
        <v>1808</v>
      </c>
      <c r="S22" s="71" t="s">
        <v>399</v>
      </c>
      <c r="T22" s="71" t="s">
        <v>399</v>
      </c>
      <c r="U22" s="71" t="s">
        <v>399</v>
      </c>
      <c r="V22" s="71" t="s">
        <v>399</v>
      </c>
      <c r="W22" s="71" t="s">
        <v>399</v>
      </c>
      <c r="X22" s="71" t="s">
        <v>399</v>
      </c>
      <c r="Y22" s="71" t="s">
        <v>399</v>
      </c>
      <c r="Z22" s="71" t="s">
        <v>399</v>
      </c>
      <c r="AA22" s="71" t="s">
        <v>399</v>
      </c>
      <c r="AB22" s="71" t="s">
        <v>399</v>
      </c>
      <c r="AC22" s="71" t="s">
        <v>399</v>
      </c>
    </row>
    <row r="23" spans="10:29" x14ac:dyDescent="0.25">
      <c r="L23" s="71" t="s">
        <v>474</v>
      </c>
      <c r="M23" s="71">
        <v>1</v>
      </c>
      <c r="N23" s="71">
        <v>2090</v>
      </c>
      <c r="O23" s="71">
        <v>1957</v>
      </c>
      <c r="P23" s="71">
        <v>1551</v>
      </c>
      <c r="Q23" s="71">
        <v>450</v>
      </c>
      <c r="R23" s="71">
        <v>300</v>
      </c>
      <c r="S23" s="71" t="s">
        <v>399</v>
      </c>
      <c r="T23" s="71" t="s">
        <v>399</v>
      </c>
      <c r="U23" s="71" t="s">
        <v>399</v>
      </c>
      <c r="V23" s="71" t="s">
        <v>399</v>
      </c>
      <c r="W23" s="71" t="s">
        <v>399</v>
      </c>
      <c r="X23" s="71" t="s">
        <v>399</v>
      </c>
      <c r="Y23" s="71" t="s">
        <v>399</v>
      </c>
      <c r="Z23" s="71" t="s">
        <v>399</v>
      </c>
      <c r="AA23" s="71" t="s">
        <v>399</v>
      </c>
      <c r="AB23" s="71" t="s">
        <v>399</v>
      </c>
      <c r="AC23" s="71" t="s">
        <v>399</v>
      </c>
    </row>
    <row r="24" spans="10:29" x14ac:dyDescent="0.25">
      <c r="L24" s="71" t="s">
        <v>475</v>
      </c>
      <c r="M24" s="71">
        <v>1</v>
      </c>
      <c r="N24" s="71">
        <v>1728</v>
      </c>
      <c r="O24" s="71">
        <v>1596</v>
      </c>
      <c r="P24" s="71">
        <v>1140</v>
      </c>
      <c r="Q24" s="71">
        <v>342</v>
      </c>
      <c r="R24" s="71">
        <v>301</v>
      </c>
      <c r="S24" s="71" t="s">
        <v>399</v>
      </c>
      <c r="T24" s="71" t="s">
        <v>399</v>
      </c>
      <c r="U24" s="71" t="s">
        <v>399</v>
      </c>
      <c r="V24" s="71" t="s">
        <v>399</v>
      </c>
      <c r="W24" s="71" t="s">
        <v>399</v>
      </c>
      <c r="X24" s="71" t="s">
        <v>399</v>
      </c>
      <c r="Y24" s="71" t="s">
        <v>399</v>
      </c>
      <c r="Z24" s="71" t="s">
        <v>399</v>
      </c>
      <c r="AA24" s="71" t="s">
        <v>399</v>
      </c>
      <c r="AB24" s="71" t="s">
        <v>399</v>
      </c>
      <c r="AC24" s="71" t="s">
        <v>399</v>
      </c>
    </row>
    <row r="25" spans="10:29" x14ac:dyDescent="0.25">
      <c r="L25" s="71" t="s">
        <v>476</v>
      </c>
      <c r="M25" s="71">
        <v>1</v>
      </c>
      <c r="N25" s="71">
        <v>1343</v>
      </c>
      <c r="O25" s="71">
        <v>1271</v>
      </c>
      <c r="P25" s="71">
        <v>1052</v>
      </c>
      <c r="Q25" s="71">
        <v>354</v>
      </c>
      <c r="R25" s="71">
        <v>119</v>
      </c>
      <c r="S25" s="71" t="s">
        <v>399</v>
      </c>
      <c r="T25" s="71" t="s">
        <v>399</v>
      </c>
      <c r="U25" s="71" t="s">
        <v>399</v>
      </c>
      <c r="V25" s="71" t="s">
        <v>399</v>
      </c>
      <c r="W25" s="71" t="s">
        <v>399</v>
      </c>
      <c r="X25" s="71" t="s">
        <v>399</v>
      </c>
      <c r="Y25" s="71" t="s">
        <v>399</v>
      </c>
      <c r="Z25" s="71" t="s">
        <v>399</v>
      </c>
      <c r="AA25" s="71" t="s">
        <v>399</v>
      </c>
      <c r="AB25" s="71" t="s">
        <v>399</v>
      </c>
      <c r="AC25" s="71" t="s">
        <v>399</v>
      </c>
    </row>
    <row r="68" spans="13:20" x14ac:dyDescent="0.25">
      <c r="M68" s="339"/>
    </row>
    <row r="76" spans="13:20" x14ac:dyDescent="0.25">
      <c r="R76" s="340"/>
    </row>
    <row r="77" spans="13:20" x14ac:dyDescent="0.25">
      <c r="S77" s="340"/>
      <c r="T77" s="340"/>
    </row>
    <row r="81" spans="21:22" x14ac:dyDescent="0.25">
      <c r="U81" s="340"/>
      <c r="V81" s="340"/>
    </row>
    <row r="86" spans="21:22" x14ac:dyDescent="0.25">
      <c r="U86" s="340"/>
      <c r="V86" s="340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586F75-54B0-435F-95E0-9A0AD61B4591}">
  <sheetPr codeName="Sheet12"/>
  <dimension ref="B2:R47"/>
  <sheetViews>
    <sheetView topLeftCell="A16" zoomScaleNormal="100" workbookViewId="0">
      <selection activeCell="D33" sqref="D33"/>
    </sheetView>
  </sheetViews>
  <sheetFormatPr defaultRowHeight="15" x14ac:dyDescent="0.25"/>
  <cols>
    <col min="2" max="2" width="16" customWidth="1"/>
    <col min="4" max="18" width="11.5703125" bestFit="1" customWidth="1"/>
  </cols>
  <sheetData>
    <row r="2" spans="2:18" x14ac:dyDescent="0.25">
      <c r="B2" s="2" t="str">
        <f>DCF!C2</f>
        <v>CAESARS ENTERTAINMENT INC</v>
      </c>
      <c r="C2" s="2"/>
      <c r="D2" s="16"/>
      <c r="E2" s="16"/>
      <c r="F2" s="16"/>
      <c r="G2" s="16"/>
      <c r="H2" s="16"/>
      <c r="I2" s="16"/>
      <c r="J2" s="16"/>
      <c r="K2" s="16"/>
      <c r="L2" s="16"/>
      <c r="M2" s="1"/>
      <c r="N2" s="1"/>
      <c r="O2" s="1"/>
      <c r="P2" s="1"/>
      <c r="Q2" s="1"/>
      <c r="R2" s="1"/>
    </row>
    <row r="3" spans="2:18" x14ac:dyDescent="0.25">
      <c r="B3" s="2" t="s">
        <v>206</v>
      </c>
      <c r="C3" s="16"/>
      <c r="D3" s="16"/>
      <c r="E3" s="16"/>
      <c r="F3" s="16"/>
      <c r="G3" s="16"/>
      <c r="H3" s="16"/>
      <c r="I3" s="16"/>
      <c r="J3" s="16"/>
      <c r="K3" s="16"/>
      <c r="L3" s="16"/>
      <c r="M3" s="1"/>
      <c r="N3" s="1"/>
      <c r="O3" s="1"/>
      <c r="P3" s="1"/>
      <c r="Q3" s="1"/>
      <c r="R3" s="1"/>
    </row>
    <row r="4" spans="2:18" x14ac:dyDescent="0.25">
      <c r="B4" s="2" t="str">
        <f>DCF!C3</f>
        <v>All Figures in USD Millions, expect for per share data</v>
      </c>
      <c r="C4" s="16"/>
      <c r="D4" s="16"/>
      <c r="E4" s="16"/>
      <c r="F4" s="16"/>
      <c r="G4" s="16"/>
      <c r="H4" s="16"/>
      <c r="I4" s="16"/>
      <c r="J4" s="16"/>
      <c r="K4" s="16"/>
      <c r="L4" s="16"/>
      <c r="M4" s="1"/>
      <c r="N4" s="1"/>
      <c r="O4" s="1"/>
      <c r="P4" s="1"/>
      <c r="Q4" s="1"/>
      <c r="R4" s="1"/>
    </row>
    <row r="5" spans="2:18" x14ac:dyDescent="0.25">
      <c r="B5" s="2" t="s">
        <v>207</v>
      </c>
      <c r="C5" s="16"/>
      <c r="D5" s="16"/>
      <c r="E5" s="16"/>
      <c r="F5" s="16"/>
      <c r="G5" s="16"/>
      <c r="H5" s="16"/>
      <c r="I5" s="16"/>
      <c r="J5" s="16"/>
      <c r="K5" s="16"/>
      <c r="L5" s="16"/>
      <c r="M5" s="1"/>
      <c r="N5" s="1"/>
      <c r="O5" s="1"/>
      <c r="P5" s="1"/>
      <c r="Q5" s="1"/>
      <c r="R5" s="1"/>
    </row>
    <row r="7" spans="2:18" x14ac:dyDescent="0.25">
      <c r="D7" s="5"/>
      <c r="E7" s="1"/>
      <c r="F7" s="2" t="s">
        <v>80</v>
      </c>
      <c r="G7" s="1"/>
      <c r="H7" s="1"/>
      <c r="I7" s="4"/>
      <c r="J7" s="3"/>
      <c r="K7" s="3"/>
      <c r="L7" s="3"/>
      <c r="M7" s="3" t="s">
        <v>81</v>
      </c>
      <c r="N7" s="3"/>
      <c r="O7" s="3"/>
      <c r="P7" s="3"/>
      <c r="Q7" s="3"/>
      <c r="R7" s="3"/>
    </row>
    <row r="8" spans="2:18" x14ac:dyDescent="0.25">
      <c r="D8" s="7">
        <f ca="1">YEAR(D9)</f>
        <v>2019</v>
      </c>
      <c r="E8" s="7">
        <f t="shared" ref="E8:H8" ca="1" si="0">YEAR(E9)</f>
        <v>2020</v>
      </c>
      <c r="F8" s="7">
        <f t="shared" ca="1" si="0"/>
        <v>2021</v>
      </c>
      <c r="G8" s="7">
        <f t="shared" ca="1" si="0"/>
        <v>2022</v>
      </c>
      <c r="H8" s="7">
        <f t="shared" ca="1" si="0"/>
        <v>2023</v>
      </c>
      <c r="I8" s="8">
        <f ca="1">YEAR(I9)</f>
        <v>2024</v>
      </c>
      <c r="J8" s="8">
        <f t="shared" ref="J8:R8" ca="1" si="1">YEAR(J9)</f>
        <v>2025</v>
      </c>
      <c r="K8" s="8">
        <f t="shared" ca="1" si="1"/>
        <v>2026</v>
      </c>
      <c r="L8" s="8">
        <f t="shared" ca="1" si="1"/>
        <v>2027</v>
      </c>
      <c r="M8" s="8">
        <f t="shared" ca="1" si="1"/>
        <v>2028</v>
      </c>
      <c r="N8" s="8">
        <f t="shared" ca="1" si="1"/>
        <v>2029</v>
      </c>
      <c r="O8" s="8">
        <f t="shared" ca="1" si="1"/>
        <v>2030</v>
      </c>
      <c r="P8" s="8">
        <f t="shared" ca="1" si="1"/>
        <v>2031</v>
      </c>
      <c r="Q8" s="8">
        <f t="shared" ca="1" si="1"/>
        <v>2032</v>
      </c>
      <c r="R8" s="8">
        <f t="shared" ca="1" si="1"/>
        <v>2033</v>
      </c>
    </row>
    <row r="9" spans="2:18" x14ac:dyDescent="0.25">
      <c r="D9" s="9">
        <f t="shared" ref="D9:F9" ca="1" si="2">EOMONTH(E9,-12)</f>
        <v>43830</v>
      </c>
      <c r="E9" s="9">
        <f t="shared" ca="1" si="2"/>
        <v>44196</v>
      </c>
      <c r="F9" s="9">
        <f t="shared" ca="1" si="2"/>
        <v>44561</v>
      </c>
      <c r="G9" s="9">
        <f ca="1">EOMONTH(H9,-12)</f>
        <v>44926</v>
      </c>
      <c r="H9" s="9">
        <f ca="1">DCF!I16</f>
        <v>45291</v>
      </c>
      <c r="I9" s="9">
        <f ca="1">EOMONTH(H9,12)</f>
        <v>45657</v>
      </c>
      <c r="J9" s="9">
        <f t="shared" ref="J9:R9" ca="1" si="3">EOMONTH(I9,12)</f>
        <v>46022</v>
      </c>
      <c r="K9" s="9">
        <f t="shared" ca="1" si="3"/>
        <v>46387</v>
      </c>
      <c r="L9" s="9">
        <f t="shared" ca="1" si="3"/>
        <v>46752</v>
      </c>
      <c r="M9" s="9">
        <f t="shared" ca="1" si="3"/>
        <v>47118</v>
      </c>
      <c r="N9" s="9">
        <f t="shared" ca="1" si="3"/>
        <v>47483</v>
      </c>
      <c r="O9" s="9">
        <f t="shared" ca="1" si="3"/>
        <v>47848</v>
      </c>
      <c r="P9" s="9">
        <f t="shared" ca="1" si="3"/>
        <v>48213</v>
      </c>
      <c r="Q9" s="9">
        <f t="shared" ca="1" si="3"/>
        <v>48579</v>
      </c>
      <c r="R9" s="9">
        <f t="shared" ca="1" si="3"/>
        <v>48944</v>
      </c>
    </row>
    <row r="11" spans="2:18" x14ac:dyDescent="0.25">
      <c r="B11" s="10" t="s">
        <v>83</v>
      </c>
    </row>
    <row r="13" spans="2:18" x14ac:dyDescent="0.25">
      <c r="B13" t="str">
        <f>IF(ISBLANK(Hub!D13), "Division 1", Hub!D13)</f>
        <v>Division 1</v>
      </c>
      <c r="D13" s="99">
        <f>(Revenue_Build!D6/Revenue_Build!D$36)</f>
        <v>0.71518987341772156</v>
      </c>
      <c r="E13" s="99">
        <f>(Revenue_Build!E6/Revenue_Build!E$36)</f>
        <v>0.68412348401323042</v>
      </c>
      <c r="F13" s="99">
        <f>(Revenue_Build!F6/Revenue_Build!F$36)</f>
        <v>0.60888192267502617</v>
      </c>
      <c r="G13" s="99">
        <f>(Revenue_Build!G6/Revenue_Build!G$36)</f>
        <v>0.55420016634322156</v>
      </c>
      <c r="H13" s="99">
        <f>(Revenue_Build!H6/Revenue_Build!H$36)</f>
        <v>0.55230742539902844</v>
      </c>
      <c r="I13" s="99">
        <f>(Revenue_Build!I6/Revenue_Build!I$36)</f>
        <v>0.51499522376181994</v>
      </c>
      <c r="J13" s="99">
        <f>(Revenue_Build!J6/Revenue_Build!J$36)</f>
        <v>0.4767959644024663</v>
      </c>
      <c r="K13" s="99">
        <f>(Revenue_Build!K6/Revenue_Build!K$36)</f>
        <v>0.43813258193176541</v>
      </c>
      <c r="L13" s="99">
        <f>(Revenue_Build!L6/Revenue_Build!L$36)</f>
        <v>0.39947073075044037</v>
      </c>
      <c r="M13" s="99">
        <f>(Revenue_Build!M6/Revenue_Build!M$36)</f>
        <v>0.36129819345460412</v>
      </c>
      <c r="N13" s="99">
        <f>(Revenue_Build!N6/Revenue_Build!N$36)</f>
        <v>0.32410066012416849</v>
      </c>
      <c r="O13" s="99">
        <f>(Revenue_Build!O6/Revenue_Build!O$36)</f>
        <v>0.28833626869903828</v>
      </c>
      <c r="P13" s="99">
        <f>(Revenue_Build!P6/Revenue_Build!P$36)</f>
        <v>0.25441168334618985</v>
      </c>
      <c r="Q13" s="99">
        <f>(Revenue_Build!Q6/Revenue_Build!Q$36)</f>
        <v>0.22266237457108534</v>
      </c>
      <c r="R13" s="99">
        <f>(Revenue_Build!R6/Revenue_Build!R$36)</f>
        <v>0.19333915171382055</v>
      </c>
    </row>
    <row r="14" spans="2:18" x14ac:dyDescent="0.25">
      <c r="B14" t="str">
        <f>IF(ISBLANK(Hub!D14), "Division 2", Hub!D14)</f>
        <v>Division 2</v>
      </c>
      <c r="D14" s="99">
        <f>(Revenue_Build!D9/Revenue_Build!D$36)</f>
        <v>0.11867088607594936</v>
      </c>
      <c r="E14" s="99">
        <f>(Revenue_Build!E9/Revenue_Build!E$36)</f>
        <v>0.12403528114663727</v>
      </c>
      <c r="F14" s="99">
        <f>(Revenue_Build!F9/Revenue_Build!F$36)</f>
        <v>0.16206896551724137</v>
      </c>
      <c r="G14" s="99">
        <f>(Revenue_Build!G9/Revenue_Build!G$36)</f>
        <v>0.18085204694575363</v>
      </c>
      <c r="H14" s="99">
        <f>(Revenue_Build!H9/Revenue_Build!H$36)</f>
        <v>0.18129770992366412</v>
      </c>
      <c r="I14" s="99">
        <f>(Revenue_Build!I9/Revenue_Build!I$36)</f>
        <v>0.1937636732897057</v>
      </c>
      <c r="J14" s="99">
        <f>(Revenue_Build!J9/Revenue_Build!J$36)</f>
        <v>0.20561720443347561</v>
      </c>
      <c r="K14" s="99">
        <f>(Revenue_Build!K9/Revenue_Build!K$36)</f>
        <v>0.21656593846528172</v>
      </c>
      <c r="L14" s="99">
        <f>(Revenue_Build!L9/Revenue_Build!L$36)</f>
        <v>0.2263222679089246</v>
      </c>
      <c r="M14" s="99">
        <f>(Revenue_Build!M9/Revenue_Build!M$36)</f>
        <v>0.23462043407495933</v>
      </c>
      <c r="N14" s="99">
        <f>(Revenue_Build!N9/Revenue_Build!N$36)</f>
        <v>0.24123353504313533</v>
      </c>
      <c r="O14" s="99">
        <f>(Revenue_Build!O9/Revenue_Build!O$36)</f>
        <v>0.24598847551764216</v>
      </c>
      <c r="P14" s="99">
        <f>(Revenue_Build!P9/Revenue_Build!P$36)</f>
        <v>0.24877701929879889</v>
      </c>
      <c r="Q14" s="99">
        <f>(Revenue_Build!Q9/Revenue_Build!Q$36)</f>
        <v>0.24956160286204399</v>
      </c>
      <c r="R14" s="99">
        <f>(Revenue_Build!R9/Revenue_Build!R$36)</f>
        <v>0.24837533183824956</v>
      </c>
    </row>
    <row r="15" spans="2:18" x14ac:dyDescent="0.25">
      <c r="B15" t="str">
        <f>IF(ISBLANK(Hub!D15), "Division 3", Hub!D15)</f>
        <v>Division 3</v>
      </c>
      <c r="D15" s="99">
        <f>(Revenue_Build!D12/Revenue_Build!D$36)</f>
        <v>0.11906645569620253</v>
      </c>
      <c r="E15" s="99">
        <f>(Revenue_Build!E12/Revenue_Build!E$36)</f>
        <v>9.4266813671444322E-2</v>
      </c>
      <c r="F15" s="99">
        <f>(Revenue_Build!F12/Revenue_Build!F$36)</f>
        <v>0.11912225705329153</v>
      </c>
      <c r="G15" s="99">
        <f>(Revenue_Build!G12/Revenue_Build!G$36)</f>
        <v>0.14749098974216801</v>
      </c>
      <c r="H15" s="99">
        <f>(Revenue_Build!H12/Revenue_Build!H$36)</f>
        <v>0.14989590562109645</v>
      </c>
      <c r="I15" s="99">
        <f>(Revenue_Build!I12/Revenue_Build!I$36)</f>
        <v>0.1541204446477685</v>
      </c>
      <c r="J15" s="99">
        <f>(Revenue_Build!J12/Revenue_Build!J$36)</f>
        <v>0.15733950759899198</v>
      </c>
      <c r="K15" s="99">
        <f>(Revenue_Build!K12/Revenue_Build!K$36)</f>
        <v>0.15942591948994675</v>
      </c>
      <c r="L15" s="99">
        <f>(Revenue_Build!L12/Revenue_Build!L$36)</f>
        <v>0.16028264750074267</v>
      </c>
      <c r="M15" s="99">
        <f>(Revenue_Build!M12/Revenue_Build!M$36)</f>
        <v>0.15985105140193381</v>
      </c>
      <c r="N15" s="99">
        <f>(Revenue_Build!N12/Revenue_Build!N$36)</f>
        <v>0.15811671627949844</v>
      </c>
      <c r="O15" s="99">
        <f>(Revenue_Build!O12/Revenue_Build!O$36)</f>
        <v>0.15511196822680259</v>
      </c>
      <c r="P15" s="99">
        <f>(Revenue_Build!P12/Revenue_Build!P$36)</f>
        <v>0.15091459755997244</v>
      </c>
      <c r="Q15" s="99">
        <f>(Revenue_Build!Q12/Revenue_Build!Q$36)</f>
        <v>0.14564285993666173</v>
      </c>
      <c r="R15" s="99">
        <f>(Revenue_Build!R12/Revenue_Build!R$36)</f>
        <v>0.13944737221012146</v>
      </c>
    </row>
    <row r="16" spans="2:18" x14ac:dyDescent="0.25">
      <c r="B16" t="str">
        <f>IF(ISBLANK(Hub!D16), "Division 4", Hub!D16)</f>
        <v>Division 4</v>
      </c>
      <c r="D16" s="99">
        <f>(Revenue_Build!D15/Revenue_Build!D$36)</f>
        <v>4.7072784810126583E-2</v>
      </c>
      <c r="E16" s="99">
        <f>(Revenue_Build!E15/Revenue_Build!E$36)</f>
        <v>9.7574421168687989E-2</v>
      </c>
      <c r="F16" s="99">
        <f>(Revenue_Build!F15/Revenue_Build!F$36)</f>
        <v>0.10992685475444096</v>
      </c>
      <c r="G16" s="99">
        <f>(Revenue_Build!G15/Revenue_Build!G$36)</f>
        <v>0.11745679696885686</v>
      </c>
      <c r="H16" s="99">
        <f>(Revenue_Build!H15/Revenue_Build!H$36)</f>
        <v>0.11649895905621097</v>
      </c>
      <c r="I16" s="99">
        <f>(Revenue_Build!I15/Revenue_Build!I$36)</f>
        <v>0.13712065830070577</v>
      </c>
      <c r="J16" s="99">
        <f>(Revenue_Build!J15/Revenue_Build!J$36)</f>
        <v>0.16024732356506605</v>
      </c>
      <c r="K16" s="99">
        <f>(Revenue_Build!K15/Revenue_Build!K$36)</f>
        <v>0.18587556011300607</v>
      </c>
      <c r="L16" s="99">
        <f>(Revenue_Build!L15/Revenue_Build!L$36)</f>
        <v>0.21392435383989236</v>
      </c>
      <c r="M16" s="99">
        <f>(Revenue_Build!M15/Revenue_Build!M$36)</f>
        <v>0.2442303210685027</v>
      </c>
      <c r="N16" s="99">
        <f>(Revenue_Build!N15/Revenue_Build!N$36)</f>
        <v>0.27654908855319771</v>
      </c>
      <c r="O16" s="99">
        <f>(Revenue_Build!O15/Revenue_Build!O$36)</f>
        <v>0.31056328755651696</v>
      </c>
      <c r="P16" s="99">
        <f>(Revenue_Build!P15/Revenue_Build!P$36)</f>
        <v>0.34589669979503884</v>
      </c>
      <c r="Q16" s="99">
        <f>(Revenue_Build!Q15/Revenue_Build!Q$36)</f>
        <v>0.38213316263020891</v>
      </c>
      <c r="R16" s="99">
        <f>(Revenue_Build!R15/Revenue_Build!R$36)</f>
        <v>0.41883814423780846</v>
      </c>
    </row>
    <row r="17" spans="2:18" x14ac:dyDescent="0.25">
      <c r="B17" t="str">
        <f>IF(ISBLANK(Hub!D17), "Division 5", Hub!D17)</f>
        <v>Division 5</v>
      </c>
      <c r="D17" s="99">
        <f>(Revenue_Build!D18/Revenue_Build!D$36)</f>
        <v>0</v>
      </c>
      <c r="E17" s="99">
        <f>(Revenue_Build!E18/Revenue_Build!E$36)</f>
        <v>0</v>
      </c>
      <c r="F17" s="99">
        <f>(Revenue_Build!F18/Revenue_Build!F$36)</f>
        <v>0</v>
      </c>
      <c r="G17" s="99">
        <f>(Revenue_Build!G18/Revenue_Build!G$36)</f>
        <v>0</v>
      </c>
      <c r="H17" s="99">
        <f>(Revenue_Build!H18/Revenue_Build!H$36)</f>
        <v>0</v>
      </c>
      <c r="I17" s="99">
        <f>(Revenue_Build!I18/Revenue_Build!I$36)</f>
        <v>0</v>
      </c>
      <c r="J17" s="99">
        <f>(Revenue_Build!J18/Revenue_Build!J$36)</f>
        <v>0</v>
      </c>
      <c r="K17" s="99">
        <f>(Revenue_Build!K18/Revenue_Build!K$36)</f>
        <v>0</v>
      </c>
      <c r="L17" s="99">
        <f>(Revenue_Build!L18/Revenue_Build!L$36)</f>
        <v>0</v>
      </c>
      <c r="M17" s="99">
        <f>(Revenue_Build!M18/Revenue_Build!M$36)</f>
        <v>0</v>
      </c>
      <c r="N17" s="99">
        <f>(Revenue_Build!N18/Revenue_Build!N$36)</f>
        <v>0</v>
      </c>
      <c r="O17" s="99">
        <f>(Revenue_Build!O18/Revenue_Build!O$36)</f>
        <v>0</v>
      </c>
      <c r="P17" s="99">
        <f>(Revenue_Build!P18/Revenue_Build!P$36)</f>
        <v>0</v>
      </c>
      <c r="Q17" s="99">
        <f>(Revenue_Build!Q18/Revenue_Build!Q$36)</f>
        <v>0</v>
      </c>
      <c r="R17" s="99">
        <f>(Revenue_Build!R18/Revenue_Build!R$36)</f>
        <v>0</v>
      </c>
    </row>
    <row r="18" spans="2:18" x14ac:dyDescent="0.25">
      <c r="B18" t="str">
        <f>IF(ISBLANK(Hub!H13), "Division 6", Hub!H13)</f>
        <v>Division 6</v>
      </c>
      <c r="D18" s="99">
        <f>(Revenue_Build!D21/Revenue_Build!D$36)</f>
        <v>0</v>
      </c>
      <c r="E18" s="99">
        <f>(Revenue_Build!E21/Revenue_Build!E$36)</f>
        <v>0</v>
      </c>
      <c r="F18" s="99">
        <f>(Revenue_Build!F21/Revenue_Build!F$36)</f>
        <v>0</v>
      </c>
      <c r="G18" s="99">
        <f>(Revenue_Build!G21/Revenue_Build!G$36)</f>
        <v>0</v>
      </c>
      <c r="H18" s="99">
        <f>(Revenue_Build!H21/Revenue_Build!H$36)</f>
        <v>0</v>
      </c>
      <c r="I18" s="99">
        <f>(Revenue_Build!I21/Revenue_Build!I$36)</f>
        <v>0</v>
      </c>
      <c r="J18" s="99">
        <f>(Revenue_Build!J21/Revenue_Build!J$36)</f>
        <v>0</v>
      </c>
      <c r="K18" s="99">
        <f>(Revenue_Build!K21/Revenue_Build!K$36)</f>
        <v>0</v>
      </c>
      <c r="L18" s="99">
        <f>(Revenue_Build!L21/Revenue_Build!L$36)</f>
        <v>0</v>
      </c>
      <c r="M18" s="99">
        <f>(Revenue_Build!M21/Revenue_Build!M$36)</f>
        <v>0</v>
      </c>
      <c r="N18" s="99">
        <f>(Revenue_Build!N21/Revenue_Build!N$36)</f>
        <v>0</v>
      </c>
      <c r="O18" s="99">
        <f>(Revenue_Build!O21/Revenue_Build!O$36)</f>
        <v>0</v>
      </c>
      <c r="P18" s="99">
        <f>(Revenue_Build!P21/Revenue_Build!P$36)</f>
        <v>0</v>
      </c>
      <c r="Q18" s="99">
        <f>(Revenue_Build!Q21/Revenue_Build!Q$36)</f>
        <v>0</v>
      </c>
      <c r="R18" s="99">
        <f>(Revenue_Build!R21/Revenue_Build!R$36)</f>
        <v>0</v>
      </c>
    </row>
    <row r="19" spans="2:18" x14ac:dyDescent="0.25">
      <c r="B19" t="str">
        <f>IF(ISBLANK(Hub!H14), "Division 7", Hub!H14)</f>
        <v>Division 7</v>
      </c>
      <c r="D19" s="99">
        <f>(Revenue_Build!D24/Revenue_Build!D$36)</f>
        <v>0</v>
      </c>
      <c r="E19" s="99">
        <f>(Revenue_Build!E24/Revenue_Build!E$36)</f>
        <v>0</v>
      </c>
      <c r="F19" s="99">
        <f>(Revenue_Build!F24/Revenue_Build!F$36)</f>
        <v>0</v>
      </c>
      <c r="G19" s="99">
        <f>(Revenue_Build!G24/Revenue_Build!G$36)</f>
        <v>0</v>
      </c>
      <c r="H19" s="99">
        <f>(Revenue_Build!H24/Revenue_Build!H$36)</f>
        <v>0</v>
      </c>
      <c r="I19" s="99">
        <f>(Revenue_Build!I24/Revenue_Build!I$36)</f>
        <v>0</v>
      </c>
      <c r="J19" s="99">
        <f>(Revenue_Build!J24/Revenue_Build!J$36)</f>
        <v>0</v>
      </c>
      <c r="K19" s="99">
        <f>(Revenue_Build!K24/Revenue_Build!K$36)</f>
        <v>0</v>
      </c>
      <c r="L19" s="99">
        <f>(Revenue_Build!L24/Revenue_Build!L$36)</f>
        <v>0</v>
      </c>
      <c r="M19" s="99">
        <f>(Revenue_Build!M24/Revenue_Build!M$36)</f>
        <v>0</v>
      </c>
      <c r="N19" s="99">
        <f>(Revenue_Build!N24/Revenue_Build!N$36)</f>
        <v>0</v>
      </c>
      <c r="O19" s="99">
        <f>(Revenue_Build!O24/Revenue_Build!O$36)</f>
        <v>0</v>
      </c>
      <c r="P19" s="99">
        <f>(Revenue_Build!P24/Revenue_Build!P$36)</f>
        <v>0</v>
      </c>
      <c r="Q19" s="99">
        <f>(Revenue_Build!Q24/Revenue_Build!Q$36)</f>
        <v>0</v>
      </c>
      <c r="R19" s="99">
        <f>(Revenue_Build!R24/Revenue_Build!R$36)</f>
        <v>0</v>
      </c>
    </row>
    <row r="20" spans="2:18" x14ac:dyDescent="0.25">
      <c r="B20" t="str">
        <f>IF(ISBLANK(Hub!H15), "Division 8", Hub!H15)</f>
        <v>Division 8</v>
      </c>
      <c r="D20" s="99">
        <f>(Revenue_Build!D27/Revenue_Build!D$36)</f>
        <v>0</v>
      </c>
      <c r="E20" s="99">
        <f>(Revenue_Build!E27/Revenue_Build!E$36)</f>
        <v>0</v>
      </c>
      <c r="F20" s="99">
        <f>(Revenue_Build!F27/Revenue_Build!F$36)</f>
        <v>0</v>
      </c>
      <c r="G20" s="99">
        <f>(Revenue_Build!G27/Revenue_Build!G$36)</f>
        <v>0</v>
      </c>
      <c r="H20" s="99">
        <f>(Revenue_Build!H27/Revenue_Build!H$36)</f>
        <v>0</v>
      </c>
      <c r="I20" s="99">
        <f>(Revenue_Build!I27/Revenue_Build!I$36)</f>
        <v>0</v>
      </c>
      <c r="J20" s="99">
        <f>(Revenue_Build!J27/Revenue_Build!J$36)</f>
        <v>0</v>
      </c>
      <c r="K20" s="99">
        <f>(Revenue_Build!K27/Revenue_Build!K$36)</f>
        <v>0</v>
      </c>
      <c r="L20" s="99">
        <f>(Revenue_Build!L27/Revenue_Build!L$36)</f>
        <v>0</v>
      </c>
      <c r="M20" s="99">
        <f>(Revenue_Build!M27/Revenue_Build!M$36)</f>
        <v>0</v>
      </c>
      <c r="N20" s="99">
        <f>(Revenue_Build!N27/Revenue_Build!N$36)</f>
        <v>0</v>
      </c>
      <c r="O20" s="99">
        <f>(Revenue_Build!O27/Revenue_Build!O$36)</f>
        <v>0</v>
      </c>
      <c r="P20" s="99">
        <f>(Revenue_Build!P27/Revenue_Build!P$36)</f>
        <v>0</v>
      </c>
      <c r="Q20" s="99">
        <f>(Revenue_Build!Q27/Revenue_Build!Q$36)</f>
        <v>0</v>
      </c>
      <c r="R20" s="99">
        <f>(Revenue_Build!R27/Revenue_Build!R$36)</f>
        <v>0</v>
      </c>
    </row>
    <row r="21" spans="2:18" x14ac:dyDescent="0.25">
      <c r="B21" t="str">
        <f>IF(ISBLANK(Hub!H16), "Division 9", Hub!H16)</f>
        <v>Division 9</v>
      </c>
      <c r="D21" s="99">
        <f>(Revenue_Build!D30/Revenue_Build!D$36)</f>
        <v>0</v>
      </c>
      <c r="E21" s="99">
        <f>(Revenue_Build!E30/Revenue_Build!E$36)</f>
        <v>0</v>
      </c>
      <c r="F21" s="99">
        <f>(Revenue_Build!F30/Revenue_Build!F$36)</f>
        <v>0</v>
      </c>
      <c r="G21" s="99">
        <f>(Revenue_Build!G30/Revenue_Build!G$36)</f>
        <v>0</v>
      </c>
      <c r="H21" s="99">
        <f>(Revenue_Build!H30/Revenue_Build!H$36)</f>
        <v>0</v>
      </c>
      <c r="I21" s="99">
        <f>(Revenue_Build!I30/Revenue_Build!I$36)</f>
        <v>0</v>
      </c>
      <c r="J21" s="99">
        <f>(Revenue_Build!J30/Revenue_Build!J$36)</f>
        <v>0</v>
      </c>
      <c r="K21" s="99">
        <f>(Revenue_Build!K30/Revenue_Build!K$36)</f>
        <v>0</v>
      </c>
      <c r="L21" s="99">
        <f>(Revenue_Build!L30/Revenue_Build!L$36)</f>
        <v>0</v>
      </c>
      <c r="M21" s="99">
        <f>(Revenue_Build!M30/Revenue_Build!M$36)</f>
        <v>0</v>
      </c>
      <c r="N21" s="99">
        <f>(Revenue_Build!N30/Revenue_Build!N$36)</f>
        <v>0</v>
      </c>
      <c r="O21" s="99">
        <f>(Revenue_Build!O30/Revenue_Build!O$36)</f>
        <v>0</v>
      </c>
      <c r="P21" s="99">
        <f>(Revenue_Build!P30/Revenue_Build!P$36)</f>
        <v>0</v>
      </c>
      <c r="Q21" s="99">
        <f>(Revenue_Build!Q30/Revenue_Build!Q$36)</f>
        <v>0</v>
      </c>
      <c r="R21" s="99">
        <f>(Revenue_Build!R30/Revenue_Build!R$36)</f>
        <v>0</v>
      </c>
    </row>
    <row r="22" spans="2:18" x14ac:dyDescent="0.25">
      <c r="B22" t="str">
        <f>IF(ISBLANK(Hub!H17), "Division 10", Hub!H17)</f>
        <v>Division 10</v>
      </c>
      <c r="D22" s="99">
        <f>(Revenue_Build!D33/Revenue_Build!D$36)</f>
        <v>0</v>
      </c>
      <c r="E22" s="99">
        <f>(Revenue_Build!E33/Revenue_Build!E$36)</f>
        <v>0</v>
      </c>
      <c r="F22" s="99">
        <f>(Revenue_Build!F33/Revenue_Build!F$36)</f>
        <v>0</v>
      </c>
      <c r="G22" s="99">
        <f>(Revenue_Build!G33/Revenue_Build!G$36)</f>
        <v>0</v>
      </c>
      <c r="H22" s="99">
        <f>(Revenue_Build!H33/Revenue_Build!H$36)</f>
        <v>0</v>
      </c>
      <c r="I22" s="99">
        <f>(Revenue_Build!I33/Revenue_Build!I$36)</f>
        <v>0</v>
      </c>
      <c r="J22" s="99">
        <f>(Revenue_Build!J33/Revenue_Build!J$36)</f>
        <v>0</v>
      </c>
      <c r="K22" s="99">
        <f>(Revenue_Build!K33/Revenue_Build!K$36)</f>
        <v>0</v>
      </c>
      <c r="L22" s="99">
        <f>(Revenue_Build!L33/Revenue_Build!L$36)</f>
        <v>0</v>
      </c>
      <c r="M22" s="99">
        <f>(Revenue_Build!M33/Revenue_Build!M$36)</f>
        <v>0</v>
      </c>
      <c r="N22" s="99">
        <f>(Revenue_Build!N33/Revenue_Build!N$36)</f>
        <v>0</v>
      </c>
      <c r="O22" s="99">
        <f>(Revenue_Build!O33/Revenue_Build!O$36)</f>
        <v>0</v>
      </c>
      <c r="P22" s="99">
        <f>(Revenue_Build!P33/Revenue_Build!P$36)</f>
        <v>0</v>
      </c>
      <c r="Q22" s="99">
        <f>(Revenue_Build!Q33/Revenue_Build!Q$36)</f>
        <v>0</v>
      </c>
      <c r="R22" s="99">
        <f>(Revenue_Build!R33/Revenue_Build!R$36)</f>
        <v>0</v>
      </c>
    </row>
    <row r="23" spans="2:18" x14ac:dyDescent="0.25">
      <c r="K23" s="106"/>
    </row>
    <row r="24" spans="2:18" x14ac:dyDescent="0.25">
      <c r="B24" s="101" t="s">
        <v>83</v>
      </c>
      <c r="C24" s="105"/>
      <c r="D24" s="243">
        <f>Revenue_Build!D36</f>
        <v>2528</v>
      </c>
      <c r="E24" s="243">
        <f>Revenue_Build!E36</f>
        <v>3628</v>
      </c>
      <c r="F24" s="243">
        <f>Revenue_Build!F36</f>
        <v>9570</v>
      </c>
      <c r="G24" s="243">
        <f>Revenue_Build!G36</f>
        <v>10821</v>
      </c>
      <c r="H24" s="243">
        <f>Revenue_Build!H36</f>
        <v>11528</v>
      </c>
      <c r="I24" s="243">
        <f>Revenue_Build!I36</f>
        <v>15902.995400604828</v>
      </c>
      <c r="J24" s="243">
        <f>Revenue_Build!J36</f>
        <v>22095.14461812477</v>
      </c>
      <c r="K24" s="243">
        <f>Revenue_Build!K36</f>
        <v>30929.375644418011</v>
      </c>
      <c r="L24" s="243">
        <f>Revenue_Build!L36</f>
        <v>43635.406367496049</v>
      </c>
      <c r="M24" s="243">
        <f>Revenue_Build!M36</f>
        <v>62059.101504694299</v>
      </c>
      <c r="N24" s="243">
        <f>Revenue_Build!N36</f>
        <v>88989.474612517981</v>
      </c>
      <c r="O24" s="243">
        <f>Revenue_Build!O36</f>
        <v>128666.82045432176</v>
      </c>
      <c r="P24" s="243">
        <f>Revenue_Build!P36</f>
        <v>187575.48423949748</v>
      </c>
      <c r="Q24" s="243">
        <f>Revenue_Build!Q36</f>
        <v>275685.27897789812</v>
      </c>
      <c r="R24" s="243">
        <f>Revenue_Build!R36</f>
        <v>408402.02663502889</v>
      </c>
    </row>
    <row r="27" spans="2:18" x14ac:dyDescent="0.25">
      <c r="B27" s="10" t="s">
        <v>415</v>
      </c>
    </row>
    <row r="29" spans="2:18" x14ac:dyDescent="0.25">
      <c r="B29" t="s">
        <v>131</v>
      </c>
      <c r="D29" s="99">
        <f>Operating_Model!E48/Operating_Model!E42</f>
        <v>0</v>
      </c>
      <c r="E29" s="99">
        <f>Operating_Model!F48/Operating_Model!F42</f>
        <v>0</v>
      </c>
      <c r="F29" s="99">
        <f>Operating_Model!G48/Operating_Model!G42</f>
        <v>0</v>
      </c>
      <c r="G29" s="99">
        <f>Operating_Model!H48/Operating_Model!H42</f>
        <v>0</v>
      </c>
      <c r="H29" s="99">
        <f>Operating_Model!I48/Operating_Model!I42</f>
        <v>0</v>
      </c>
      <c r="I29" s="99">
        <f ca="1">IFERROR(IF(RSQ($D29:$H29,$D$8:$H$8)&gt;0.5,((SLOPE($D29:$H29,$D$8:$H$8)+H29)*RSQ($D29:$H29,$D$8:$H$8)+(AVERAGE($D29:$H29)*(1-RSQ($D29:$H29,$D$8:$H$8)))),AVERAGE($D29:$H29)),0)</f>
        <v>0</v>
      </c>
      <c r="J29" s="99">
        <f t="shared" ref="J29:R29" ca="1" si="4">IFERROR(IF(RSQ($D29:$H29,$D$8:$H$8)&gt;0.5,((SLOPE($D29:$H29,$D$8:$H$8)+I29)*RSQ($D29:$H29,$D$8:$H$8)+(AVERAGE($D29:$H29)*(1-RSQ($D29:$H29,$D$8:$H$8)))),AVERAGE($D29:$H29)),0)</f>
        <v>0</v>
      </c>
      <c r="K29" s="99">
        <f t="shared" ca="1" si="4"/>
        <v>0</v>
      </c>
      <c r="L29" s="99">
        <f t="shared" ca="1" si="4"/>
        <v>0</v>
      </c>
      <c r="M29" s="99">
        <f t="shared" ca="1" si="4"/>
        <v>0</v>
      </c>
      <c r="N29" s="99">
        <f t="shared" ca="1" si="4"/>
        <v>0</v>
      </c>
      <c r="O29" s="99">
        <f t="shared" ca="1" si="4"/>
        <v>0</v>
      </c>
      <c r="P29" s="99">
        <f t="shared" ca="1" si="4"/>
        <v>0</v>
      </c>
      <c r="Q29" s="99">
        <f t="shared" ca="1" si="4"/>
        <v>0</v>
      </c>
      <c r="R29" s="99">
        <f t="shared" ca="1" si="4"/>
        <v>0</v>
      </c>
    </row>
    <row r="30" spans="2:18" x14ac:dyDescent="0.25">
      <c r="B30" t="s">
        <v>449</v>
      </c>
      <c r="D30" s="99">
        <f>Operating_Model!E51/Operating_Model!E42</f>
        <v>0</v>
      </c>
      <c r="E30" s="99">
        <f>Operating_Model!F51/Operating_Model!F42</f>
        <v>0</v>
      </c>
      <c r="F30" s="99">
        <f>Operating_Model!G51/Operating_Model!G42</f>
        <v>0</v>
      </c>
      <c r="G30" s="99">
        <f>Operating_Model!H51/Operating_Model!H42</f>
        <v>0</v>
      </c>
      <c r="H30" s="99">
        <f>Operating_Model!I51/Operating_Model!I42</f>
        <v>0</v>
      </c>
      <c r="I30" s="99">
        <f t="shared" ref="I30:R36" ca="1" si="5">IFERROR(IF(RSQ($D30:$H30,$D$8:$H$8)&gt;0.5,((SLOPE($D30:$H30,$D$8:$H$8)+H30)*RSQ($D30:$H30,$D$8:$H$8)+(AVERAGE($D30:$H30)*(1-RSQ($D30:$H30,$D$8:$H$8)))),AVERAGE($D30:$H30)),0)</f>
        <v>0</v>
      </c>
      <c r="J30" s="99">
        <f t="shared" ca="1" si="5"/>
        <v>0</v>
      </c>
      <c r="K30" s="99">
        <f t="shared" ca="1" si="5"/>
        <v>0</v>
      </c>
      <c r="L30" s="99">
        <f t="shared" ca="1" si="5"/>
        <v>0</v>
      </c>
      <c r="M30" s="99">
        <f t="shared" ca="1" si="5"/>
        <v>0</v>
      </c>
      <c r="N30" s="99">
        <f t="shared" ca="1" si="5"/>
        <v>0</v>
      </c>
      <c r="O30" s="99">
        <f t="shared" ca="1" si="5"/>
        <v>0</v>
      </c>
      <c r="P30" s="99">
        <f t="shared" ca="1" si="5"/>
        <v>0</v>
      </c>
      <c r="Q30" s="99">
        <f t="shared" ca="1" si="5"/>
        <v>0</v>
      </c>
      <c r="R30" s="99">
        <f t="shared" ca="1" si="5"/>
        <v>0</v>
      </c>
    </row>
    <row r="31" spans="2:18" x14ac:dyDescent="0.25">
      <c r="B31" t="s">
        <v>407</v>
      </c>
      <c r="D31" s="99">
        <f>Operating_Model!E54/Operating_Model!E42</f>
        <v>0</v>
      </c>
      <c r="E31" s="99">
        <f>Operating_Model!F54/Operating_Model!F42</f>
        <v>0</v>
      </c>
      <c r="F31" s="99">
        <f>Operating_Model!G54/Operating_Model!G42</f>
        <v>0</v>
      </c>
      <c r="G31" s="99">
        <f>Operating_Model!H54/Operating_Model!H42</f>
        <v>0</v>
      </c>
      <c r="H31" s="99">
        <f>Operating_Model!I54/Operating_Model!I42</f>
        <v>0</v>
      </c>
      <c r="I31" s="99">
        <f t="shared" ca="1" si="5"/>
        <v>0</v>
      </c>
      <c r="J31" s="99">
        <f t="shared" ca="1" si="5"/>
        <v>0</v>
      </c>
      <c r="K31" s="99">
        <f t="shared" ca="1" si="5"/>
        <v>0</v>
      </c>
      <c r="L31" s="99">
        <f t="shared" ca="1" si="5"/>
        <v>0</v>
      </c>
      <c r="M31" s="99">
        <f t="shared" ca="1" si="5"/>
        <v>0</v>
      </c>
      <c r="N31" s="99">
        <f t="shared" ca="1" si="5"/>
        <v>0</v>
      </c>
      <c r="O31" s="99">
        <f t="shared" ca="1" si="5"/>
        <v>0</v>
      </c>
      <c r="P31" s="99">
        <f t="shared" ca="1" si="5"/>
        <v>0</v>
      </c>
      <c r="Q31" s="99">
        <f t="shared" ca="1" si="5"/>
        <v>0</v>
      </c>
      <c r="R31" s="99">
        <f t="shared" ca="1" si="5"/>
        <v>0</v>
      </c>
    </row>
    <row r="32" spans="2:18" x14ac:dyDescent="0.25">
      <c r="B32" t="s">
        <v>453</v>
      </c>
      <c r="D32" s="99">
        <f>Operating_Model!E57/Operating_Model!E42</f>
        <v>0</v>
      </c>
      <c r="E32" s="99">
        <f>Operating_Model!F57/Operating_Model!F42</f>
        <v>0</v>
      </c>
      <c r="F32" s="99">
        <f>Operating_Model!G57/Operating_Model!G42</f>
        <v>0</v>
      </c>
      <c r="G32" s="99">
        <f>Operating_Model!H57/Operating_Model!H42</f>
        <v>0</v>
      </c>
      <c r="H32" s="99">
        <f>Operating_Model!I57/Operating_Model!I42</f>
        <v>0</v>
      </c>
      <c r="I32" s="99">
        <f t="shared" ca="1" si="5"/>
        <v>0</v>
      </c>
      <c r="J32" s="99">
        <f t="shared" ref="J32:J33" ca="1" si="6">IFERROR(IF(RSQ($D32:$H32,$D$8:$H$8)&gt;0.5,((SLOPE($D32:$H32,$D$8:$H$8)+I32)*RSQ($D32:$H32,$D$8:$H$8)+(AVERAGE($D32:$H32)*(1-RSQ($D32:$H32,$D$8:$H$8)))),AVERAGE($D32:$H32)),0)</f>
        <v>0</v>
      </c>
      <c r="K32" s="99">
        <f t="shared" ref="K32:K33" ca="1" si="7">IFERROR(IF(RSQ($D32:$H32,$D$8:$H$8)&gt;0.5,((SLOPE($D32:$H32,$D$8:$H$8)+J32)*RSQ($D32:$H32,$D$8:$H$8)+(AVERAGE($D32:$H32)*(1-RSQ($D32:$H32,$D$8:$H$8)))),AVERAGE($D32:$H32)),0)</f>
        <v>0</v>
      </c>
      <c r="L32" s="99">
        <f t="shared" ref="L32:L33" ca="1" si="8">IFERROR(IF(RSQ($D32:$H32,$D$8:$H$8)&gt;0.5,((SLOPE($D32:$H32,$D$8:$H$8)+K32)*RSQ($D32:$H32,$D$8:$H$8)+(AVERAGE($D32:$H32)*(1-RSQ($D32:$H32,$D$8:$H$8)))),AVERAGE($D32:$H32)),0)</f>
        <v>0</v>
      </c>
      <c r="M32" s="99">
        <f t="shared" ref="M32:M33" ca="1" si="9">IFERROR(IF(RSQ($D32:$H32,$D$8:$H$8)&gt;0.5,((SLOPE($D32:$H32,$D$8:$H$8)+L32)*RSQ($D32:$H32,$D$8:$H$8)+(AVERAGE($D32:$H32)*(1-RSQ($D32:$H32,$D$8:$H$8)))),AVERAGE($D32:$H32)),0)</f>
        <v>0</v>
      </c>
      <c r="N32" s="99">
        <f t="shared" ref="N32:N33" ca="1" si="10">IFERROR(IF(RSQ($D32:$H32,$D$8:$H$8)&gt;0.5,((SLOPE($D32:$H32,$D$8:$H$8)+M32)*RSQ($D32:$H32,$D$8:$H$8)+(AVERAGE($D32:$H32)*(1-RSQ($D32:$H32,$D$8:$H$8)))),AVERAGE($D32:$H32)),0)</f>
        <v>0</v>
      </c>
      <c r="O32" s="99">
        <f t="shared" ref="O32:O33" ca="1" si="11">IFERROR(IF(RSQ($D32:$H32,$D$8:$H$8)&gt;0.5,((SLOPE($D32:$H32,$D$8:$H$8)+N32)*RSQ($D32:$H32,$D$8:$H$8)+(AVERAGE($D32:$H32)*(1-RSQ($D32:$H32,$D$8:$H$8)))),AVERAGE($D32:$H32)),0)</f>
        <v>0</v>
      </c>
      <c r="P32" s="99">
        <f t="shared" ref="P32:P33" ca="1" si="12">IFERROR(IF(RSQ($D32:$H32,$D$8:$H$8)&gt;0.5,((SLOPE($D32:$H32,$D$8:$H$8)+O32)*RSQ($D32:$H32,$D$8:$H$8)+(AVERAGE($D32:$H32)*(1-RSQ($D32:$H32,$D$8:$H$8)))),AVERAGE($D32:$H32)),0)</f>
        <v>0</v>
      </c>
      <c r="Q32" s="99">
        <f t="shared" ref="Q32:Q33" ca="1" si="13">IFERROR(IF(RSQ($D32:$H32,$D$8:$H$8)&gt;0.5,((SLOPE($D32:$H32,$D$8:$H$8)+P32)*RSQ($D32:$H32,$D$8:$H$8)+(AVERAGE($D32:$H32)*(1-RSQ($D32:$H32,$D$8:$H$8)))),AVERAGE($D32:$H32)),0)</f>
        <v>0</v>
      </c>
      <c r="R32" s="99">
        <f t="shared" ref="R32:R33" ca="1" si="14">IFERROR(IF(RSQ($D32:$H32,$D$8:$H$8)&gt;0.5,((SLOPE($D32:$H32,$D$8:$H$8)+Q32)*RSQ($D32:$H32,$D$8:$H$8)+(AVERAGE($D32:$H32)*(1-RSQ($D32:$H32,$D$8:$H$8)))),AVERAGE($D32:$H32)),0)</f>
        <v>0</v>
      </c>
    </row>
    <row r="33" spans="2:18" x14ac:dyDescent="0.25">
      <c r="B33" t="s">
        <v>471</v>
      </c>
      <c r="D33" s="99">
        <f>Operating_Model!E60/Operating_Model!E42</f>
        <v>1.8171677215189874E-2</v>
      </c>
      <c r="E33" s="99">
        <f>Operating_Model!F60/Operating_Model!F42</f>
        <v>3.8588754134509372E-2</v>
      </c>
      <c r="F33" s="99">
        <f>Operating_Model!G60/Operating_Model!G42</f>
        <v>3.8975966562173461E-2</v>
      </c>
      <c r="G33" s="99">
        <f>Operating_Model!H60/Operating_Model!H42</f>
        <v>3.7981702245633492E-2</v>
      </c>
      <c r="H33" s="99">
        <f>Operating_Model!I60/Operating_Model!I42</f>
        <v>3.7647467036780013E-2</v>
      </c>
      <c r="I33" s="99">
        <f t="shared" ca="1" si="5"/>
        <v>3.4273113438857236E-2</v>
      </c>
      <c r="J33" s="99">
        <f t="shared" ca="1" si="6"/>
        <v>3.4273113438857236E-2</v>
      </c>
      <c r="K33" s="99">
        <f t="shared" ca="1" si="7"/>
        <v>3.4273113438857236E-2</v>
      </c>
      <c r="L33" s="99">
        <f t="shared" ca="1" si="8"/>
        <v>3.4273113438857236E-2</v>
      </c>
      <c r="M33" s="99">
        <f t="shared" ca="1" si="9"/>
        <v>3.4273113438857236E-2</v>
      </c>
      <c r="N33" s="99">
        <f t="shared" ca="1" si="10"/>
        <v>3.4273113438857236E-2</v>
      </c>
      <c r="O33" s="99">
        <f t="shared" ca="1" si="11"/>
        <v>3.4273113438857236E-2</v>
      </c>
      <c r="P33" s="99">
        <f t="shared" ca="1" si="12"/>
        <v>3.4273113438857236E-2</v>
      </c>
      <c r="Q33" s="99">
        <f t="shared" ca="1" si="13"/>
        <v>3.4273113438857236E-2</v>
      </c>
      <c r="R33" s="99">
        <f t="shared" ca="1" si="14"/>
        <v>3.4273113438857236E-2</v>
      </c>
    </row>
    <row r="34" spans="2:18" x14ac:dyDescent="0.25">
      <c r="D34" s="99"/>
      <c r="E34" s="99"/>
      <c r="F34" s="99"/>
      <c r="G34" s="99"/>
      <c r="H34" s="99"/>
      <c r="I34" s="99"/>
      <c r="J34" s="99"/>
      <c r="K34" s="99"/>
      <c r="L34" s="99"/>
      <c r="M34" s="99"/>
      <c r="N34" s="99"/>
      <c r="O34" s="99"/>
      <c r="P34" s="99"/>
      <c r="Q34" s="99"/>
      <c r="R34" s="99"/>
    </row>
    <row r="35" spans="2:18" x14ac:dyDescent="0.25">
      <c r="B35" t="s">
        <v>452</v>
      </c>
      <c r="D35" s="99">
        <f>Operating_Model!E63/Operating_Model!E42</f>
        <v>0</v>
      </c>
      <c r="E35" s="99">
        <f>Operating_Model!F63/Operating_Model!F42</f>
        <v>0</v>
      </c>
      <c r="F35" s="99">
        <f>Operating_Model!G63/Operating_Model!G42</f>
        <v>0</v>
      </c>
      <c r="G35" s="99">
        <f>Operating_Model!H63/Operating_Model!H42</f>
        <v>0</v>
      </c>
      <c r="H35" s="99">
        <f>Operating_Model!I63/Operating_Model!I42</f>
        <v>0</v>
      </c>
      <c r="I35" s="99">
        <f t="shared" ca="1" si="5"/>
        <v>0</v>
      </c>
      <c r="J35" s="99">
        <f t="shared" ca="1" si="5"/>
        <v>0</v>
      </c>
      <c r="K35" s="99">
        <f t="shared" ca="1" si="5"/>
        <v>0</v>
      </c>
      <c r="L35" s="99">
        <f t="shared" ca="1" si="5"/>
        <v>0</v>
      </c>
      <c r="M35" s="99">
        <f t="shared" ca="1" si="5"/>
        <v>0</v>
      </c>
      <c r="N35" s="99">
        <f t="shared" ca="1" si="5"/>
        <v>0</v>
      </c>
      <c r="O35" s="99">
        <f t="shared" ca="1" si="5"/>
        <v>0</v>
      </c>
      <c r="P35" s="99">
        <f t="shared" ca="1" si="5"/>
        <v>0</v>
      </c>
      <c r="Q35" s="99">
        <f t="shared" ca="1" si="5"/>
        <v>0</v>
      </c>
      <c r="R35" s="99">
        <f t="shared" ca="1" si="5"/>
        <v>0</v>
      </c>
    </row>
    <row r="36" spans="2:18" x14ac:dyDescent="0.25">
      <c r="B36" t="s">
        <v>464</v>
      </c>
      <c r="D36" s="99">
        <f>Operating_Model!E66/Operating_Model!E42</f>
        <v>0</v>
      </c>
      <c r="E36" s="99">
        <f>Operating_Model!F66/Operating_Model!F42</f>
        <v>0</v>
      </c>
      <c r="F36" s="99">
        <f>Operating_Model!G66/Operating_Model!G42</f>
        <v>0</v>
      </c>
      <c r="G36" s="99">
        <f>Operating_Model!H66/Operating_Model!H42</f>
        <v>0</v>
      </c>
      <c r="H36" s="99">
        <f>Operating_Model!I66/Operating_Model!I42</f>
        <v>0</v>
      </c>
      <c r="I36" s="99">
        <f t="shared" ca="1" si="5"/>
        <v>0</v>
      </c>
      <c r="J36" s="99">
        <f t="shared" ca="1" si="5"/>
        <v>0</v>
      </c>
      <c r="K36" s="99">
        <f t="shared" ca="1" si="5"/>
        <v>0</v>
      </c>
      <c r="L36" s="99">
        <f t="shared" ca="1" si="5"/>
        <v>0</v>
      </c>
      <c r="M36" s="99">
        <f t="shared" ca="1" si="5"/>
        <v>0</v>
      </c>
      <c r="N36" s="99">
        <f t="shared" ca="1" si="5"/>
        <v>0</v>
      </c>
      <c r="O36" s="99">
        <f t="shared" ca="1" si="5"/>
        <v>0</v>
      </c>
      <c r="P36" s="99">
        <f t="shared" ca="1" si="5"/>
        <v>0</v>
      </c>
      <c r="Q36" s="99">
        <f t="shared" ca="1" si="5"/>
        <v>0</v>
      </c>
      <c r="R36" s="99">
        <f t="shared" ca="1" si="5"/>
        <v>0</v>
      </c>
    </row>
    <row r="37" spans="2:18" x14ac:dyDescent="0.25">
      <c r="K37" s="106"/>
    </row>
    <row r="38" spans="2:18" x14ac:dyDescent="0.25">
      <c r="B38" s="101" t="s">
        <v>415</v>
      </c>
      <c r="C38" s="105"/>
      <c r="D38" s="275">
        <f>SUM(D29:D36)*D24</f>
        <v>45.938000000000002</v>
      </c>
      <c r="E38" s="275">
        <f t="shared" ref="E38:R38" si="15">SUM(E29:E36)*E24</f>
        <v>140</v>
      </c>
      <c r="F38" s="275">
        <f t="shared" si="15"/>
        <v>373</v>
      </c>
      <c r="G38" s="275">
        <f t="shared" si="15"/>
        <v>411</v>
      </c>
      <c r="H38" s="275">
        <f t="shared" si="15"/>
        <v>434</v>
      </c>
      <c r="I38" s="275">
        <f t="shared" ca="1" si="15"/>
        <v>545.04516538255416</v>
      </c>
      <c r="J38" s="275">
        <f t="shared" ca="1" si="15"/>
        <v>757.26939794494615</v>
      </c>
      <c r="K38" s="275">
        <f t="shared" ca="1" si="15"/>
        <v>1060.0460000541666</v>
      </c>
      <c r="L38" s="275">
        <f t="shared" ca="1" si="15"/>
        <v>1495.5212323838255</v>
      </c>
      <c r="M38" s="275">
        <f t="shared" ca="1" si="15"/>
        <v>2126.9586257839437</v>
      </c>
      <c r="N38" s="275">
        <f t="shared" ca="1" si="15"/>
        <v>3049.9463582591347</v>
      </c>
      <c r="O38" s="275">
        <f t="shared" ca="1" si="15"/>
        <v>4409.8125332480458</v>
      </c>
      <c r="P38" s="275">
        <f t="shared" ca="1" si="15"/>
        <v>6428.795849688875</v>
      </c>
      <c r="Q38" s="275">
        <f t="shared" ca="1" si="15"/>
        <v>9448.5928398325068</v>
      </c>
      <c r="R38" s="275">
        <f t="shared" ca="1" si="15"/>
        <v>13997.208987521539</v>
      </c>
    </row>
    <row r="41" spans="2:18" x14ac:dyDescent="0.25">
      <c r="B41" s="10" t="s">
        <v>132</v>
      </c>
    </row>
    <row r="43" spans="2:18" x14ac:dyDescent="0.25">
      <c r="B43" t="s">
        <v>133</v>
      </c>
      <c r="D43" s="99">
        <f>Operating_Model!E86/Operating_Model!E$42</f>
        <v>0.23976424050632913</v>
      </c>
      <c r="E43" s="99">
        <f>Operating_Model!F86/Operating_Model!F$42</f>
        <v>0.24862183020948181</v>
      </c>
      <c r="F43" s="99">
        <f>Operating_Model!G86/Operating_Model!G$42</f>
        <v>0.18620689655172415</v>
      </c>
      <c r="G43" s="99">
        <f>Operating_Model!H86/Operating_Model!H$42</f>
        <v>0.19110987893909989</v>
      </c>
      <c r="H43" s="99">
        <f>Operating_Model!I86/Operating_Model!I$42</f>
        <v>0.17453157529493407</v>
      </c>
      <c r="I43" s="99">
        <f ca="1">Operating_Model!J86/Operating_Model!J$42</f>
        <v>0.11188760404498674</v>
      </c>
      <c r="J43" s="99">
        <f ca="1">Operating_Model!K86/Operating_Model!K$42</f>
        <v>8.2292987272132287E-2</v>
      </c>
      <c r="K43" s="99">
        <f ca="1">Operating_Model!L86/Operating_Model!L$42</f>
        <v>6.0074102579231431E-2</v>
      </c>
      <c r="L43" s="99">
        <f ca="1">Operating_Model!M86/Operating_Model!M$42</f>
        <v>4.3512916068529521E-2</v>
      </c>
      <c r="M43" s="99">
        <f ca="1">Operating_Model!N86/Operating_Model!N$42</f>
        <v>3.1264428840960791E-2</v>
      </c>
      <c r="N43" s="99">
        <f ca="1">Operating_Model!O86/Operating_Model!O$42</f>
        <v>2.2280047313648757E-2</v>
      </c>
      <c r="O43" s="99">
        <f ca="1">Operating_Model!P86/Operating_Model!P$42</f>
        <v>1.5746605647172063E-2</v>
      </c>
      <c r="P43" s="99">
        <f ca="1">Operating_Model!Q86/Operating_Model!Q$42</f>
        <v>1.1037639688053491E-2</v>
      </c>
      <c r="Q43" s="99">
        <f ca="1">Operating_Model!R86/Operating_Model!R$42</f>
        <v>7.6742771920398876E-3</v>
      </c>
      <c r="R43" s="99">
        <f ca="1">Operating_Model!S86/Operating_Model!S$42</f>
        <v>5.293731845485687E-3</v>
      </c>
    </row>
    <row r="44" spans="2:18" x14ac:dyDescent="0.25">
      <c r="B44" s="85" t="s">
        <v>373</v>
      </c>
      <c r="D44" s="99">
        <f>Operating_Model!E89/Operating_Model!E$42</f>
        <v>0</v>
      </c>
      <c r="E44" s="99">
        <f>Operating_Model!F89/Operating_Model!F$42</f>
        <v>0</v>
      </c>
      <c r="F44" s="99">
        <f>Operating_Model!G89/Operating_Model!G$42</f>
        <v>0</v>
      </c>
      <c r="G44" s="99">
        <f>Operating_Model!H89/Operating_Model!H$42</f>
        <v>0</v>
      </c>
      <c r="H44" s="99">
        <f>Operating_Model!I89/Operating_Model!I$42</f>
        <v>0</v>
      </c>
      <c r="I44" s="99">
        <f>Operating_Model!J89/Operating_Model!J$42</f>
        <v>0</v>
      </c>
      <c r="J44" s="99">
        <f>Operating_Model!K89/Operating_Model!K$42</f>
        <v>0</v>
      </c>
      <c r="K44" s="99">
        <f>Operating_Model!L89/Operating_Model!L$42</f>
        <v>0</v>
      </c>
      <c r="L44" s="99">
        <f>Operating_Model!M89/Operating_Model!M$42</f>
        <v>0</v>
      </c>
      <c r="M44" s="99">
        <f>Operating_Model!N89/Operating_Model!N$42</f>
        <v>0</v>
      </c>
      <c r="N44" s="99">
        <f>Operating_Model!O89/Operating_Model!O$42</f>
        <v>0</v>
      </c>
      <c r="O44" s="99">
        <f>Operating_Model!P89/Operating_Model!P$42</f>
        <v>0</v>
      </c>
      <c r="P44" s="99">
        <f>Operating_Model!Q89/Operating_Model!Q$42</f>
        <v>0</v>
      </c>
      <c r="Q44" s="99">
        <f>Operating_Model!R89/Operating_Model!R$42</f>
        <v>0</v>
      </c>
      <c r="R44" s="99">
        <f>Operating_Model!S89/Operating_Model!S$42</f>
        <v>0</v>
      </c>
    </row>
    <row r="45" spans="2:18" x14ac:dyDescent="0.25">
      <c r="B45" t="s">
        <v>134</v>
      </c>
      <c r="D45" s="99">
        <f>Operating_Model!E92/Operating_Model!E$42</f>
        <v>2.7071598101265821E-2</v>
      </c>
      <c r="E45" s="99">
        <f>Operating_Model!F92/Operating_Model!F$42</f>
        <v>-2.0672546857772877E-2</v>
      </c>
      <c r="F45" s="99">
        <f>Operating_Model!G92/Operating_Model!G$42</f>
        <v>1.7241379310344827E-2</v>
      </c>
      <c r="G45" s="99">
        <f>Operating_Model!H92/Operating_Model!H$42</f>
        <v>2.6430089640513816E-2</v>
      </c>
      <c r="H45" s="99">
        <f>Operating_Model!I92/Operating_Model!I$42</f>
        <v>2.6544066620402498E-2</v>
      </c>
      <c r="I45" s="99">
        <f>Operating_Model!J92/Operating_Model!J$42</f>
        <v>1.5658142035891998E-2</v>
      </c>
      <c r="J45" s="99">
        <f>Operating_Model!K92/Operating_Model!K$42</f>
        <v>1.1516515115890847E-2</v>
      </c>
      <c r="K45" s="99">
        <f>Operating_Model!L92/Operating_Model!L$42</f>
        <v>8.407087084339961E-3</v>
      </c>
      <c r="L45" s="99">
        <f>Operating_Model!M92/Operating_Model!M$42</f>
        <v>6.0894272069937179E-3</v>
      </c>
      <c r="M45" s="99">
        <f>Operating_Model!N92/Operating_Model!N$42</f>
        <v>4.3753092368120734E-3</v>
      </c>
      <c r="N45" s="99">
        <f>Operating_Model!O92/Operating_Model!O$42</f>
        <v>3.1179874516147313E-3</v>
      </c>
      <c r="O45" s="99">
        <f>Operating_Model!P92/Operating_Model!P$42</f>
        <v>2.203663130613322E-3</v>
      </c>
      <c r="P45" s="99">
        <f>Operating_Model!Q92/Operating_Model!Q$42</f>
        <v>1.544665572667467E-3</v>
      </c>
      <c r="Q45" s="99">
        <f>Operating_Model!R92/Operating_Model!R$42</f>
        <v>1.073978867645179E-3</v>
      </c>
      <c r="R45" s="99">
        <f>Operating_Model!S92/Operating_Model!S$42</f>
        <v>7.4083278343516881E-4</v>
      </c>
    </row>
    <row r="46" spans="2:18" x14ac:dyDescent="0.25">
      <c r="K46" s="106"/>
    </row>
    <row r="47" spans="2:18" x14ac:dyDescent="0.25">
      <c r="B47" s="101" t="s">
        <v>132</v>
      </c>
      <c r="C47" s="105"/>
      <c r="D47" s="243">
        <f t="shared" ref="D47:R47" si="16">SUM(D43:D45)*D24</f>
        <v>674.56100000000004</v>
      </c>
      <c r="E47" s="243">
        <f t="shared" si="16"/>
        <v>827</v>
      </c>
      <c r="F47" s="243">
        <f t="shared" si="16"/>
        <v>1947.0000000000002</v>
      </c>
      <c r="G47" s="243">
        <f t="shared" si="16"/>
        <v>2354</v>
      </c>
      <c r="H47" s="243">
        <f t="shared" si="16"/>
        <v>2318</v>
      </c>
      <c r="I47" s="243">
        <f t="shared" ca="1" si="16"/>
        <v>2028.3594132909259</v>
      </c>
      <c r="J47" s="243">
        <f t="shared" ca="1" si="16"/>
        <v>2072.734521817692</v>
      </c>
      <c r="K47" s="243">
        <f t="shared" ca="1" si="16"/>
        <v>2118.0804396812355</v>
      </c>
      <c r="L47" s="243">
        <f t="shared" ca="1" si="16"/>
        <v>2164.4184056074914</v>
      </c>
      <c r="M47" s="243">
        <f t="shared" ca="1" si="16"/>
        <v>2211.7701229692243</v>
      </c>
      <c r="N47" s="243">
        <f t="shared" ca="1" si="16"/>
        <v>2260.1577699512641</v>
      </c>
      <c r="O47" s="243">
        <f t="shared" ca="1" si="16"/>
        <v>2309.6040099381294</v>
      </c>
      <c r="P47" s="243">
        <f t="shared" ca="1" si="16"/>
        <v>2360.1320021289102</v>
      </c>
      <c r="Q47" s="243">
        <f t="shared" ca="1" si="16"/>
        <v>2411.7654123843654</v>
      </c>
      <c r="R47" s="243">
        <f t="shared" ca="1" si="16"/>
        <v>2464.5284243113383</v>
      </c>
    </row>
  </sheetData>
  <phoneticPr fontId="30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5" r:id="rId3" name="Button 1">
              <controlPr defaultSize="0" print="0" autoFill="0" autoPict="0" macro="[0]!BacktoHub">
                <anchor moveWithCells="1" sizeWithCells="1">
                  <from>
                    <xdr:col>18</xdr:col>
                    <xdr:colOff>400050</xdr:colOff>
                    <xdr:row>1</xdr:row>
                    <xdr:rowOff>85725</xdr:rowOff>
                  </from>
                  <to>
                    <xdr:col>20</xdr:col>
                    <xdr:colOff>371475</xdr:colOff>
                    <xdr:row>4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6E0773-1928-4BBF-A8ED-797C0EF57003}">
  <sheetPr codeName="Sheet13"/>
  <dimension ref="B2:AS110"/>
  <sheetViews>
    <sheetView zoomScale="70" zoomScaleNormal="70" zoomScaleSheetLayoutView="40" workbookViewId="0">
      <selection activeCell="R38" sqref="R38"/>
    </sheetView>
  </sheetViews>
  <sheetFormatPr defaultRowHeight="15" x14ac:dyDescent="0.25"/>
  <cols>
    <col min="2" max="2" width="17.140625" bestFit="1" customWidth="1"/>
    <col min="3" max="3" width="10.140625" bestFit="1" customWidth="1"/>
    <col min="4" max="4" width="20.28515625" bestFit="1" customWidth="1"/>
    <col min="5" max="5" width="10" bestFit="1" customWidth="1"/>
    <col min="6" max="6" width="22" bestFit="1" customWidth="1"/>
    <col min="7" max="7" width="16.28515625" bestFit="1" customWidth="1"/>
    <col min="8" max="8" width="31" bestFit="1" customWidth="1"/>
    <col min="10" max="10" width="26" bestFit="1" customWidth="1"/>
    <col min="12" max="12" width="0" hidden="1" customWidth="1"/>
    <col min="13" max="13" width="8.5703125" hidden="1" customWidth="1"/>
    <col min="14" max="14" width="12.5703125" bestFit="1" customWidth="1"/>
    <col min="15" max="15" width="10" bestFit="1" customWidth="1"/>
    <col min="16" max="16" width="13.85546875" bestFit="1" customWidth="1"/>
    <col min="17" max="17" width="25.85546875" bestFit="1" customWidth="1"/>
    <col min="18" max="18" width="12.7109375" customWidth="1"/>
    <col min="20" max="20" width="14.42578125" bestFit="1" customWidth="1"/>
    <col min="21" max="21" width="14.42578125" customWidth="1"/>
    <col min="23" max="23" width="0" hidden="1" customWidth="1"/>
    <col min="24" max="24" width="22.7109375" customWidth="1"/>
    <col min="25" max="25" width="11.28515625" customWidth="1"/>
    <col min="26" max="26" width="11.7109375" bestFit="1" customWidth="1"/>
    <col min="27" max="27" width="11.7109375" customWidth="1"/>
    <col min="28" max="29" width="11.7109375" bestFit="1" customWidth="1"/>
    <col min="30" max="30" width="11.5703125" bestFit="1" customWidth="1"/>
    <col min="31" max="33" width="11.5703125" customWidth="1"/>
    <col min="34" max="39" width="11.5703125" bestFit="1" customWidth="1"/>
    <col min="40" max="40" width="11.5703125" customWidth="1"/>
    <col min="44" max="44" width="10.5703125" bestFit="1" customWidth="1"/>
  </cols>
  <sheetData>
    <row r="2" spans="2:45" ht="15" customHeight="1" x14ac:dyDescent="0.25">
      <c r="B2" s="85" t="s">
        <v>374</v>
      </c>
      <c r="C2" t="s">
        <v>221</v>
      </c>
      <c r="D2" t="s">
        <v>222</v>
      </c>
      <c r="E2" t="s">
        <v>11</v>
      </c>
      <c r="F2" s="85" t="s">
        <v>380</v>
      </c>
      <c r="G2" s="85" t="s">
        <v>379</v>
      </c>
      <c r="H2" s="85" t="s">
        <v>404</v>
      </c>
      <c r="J2" s="85" t="s">
        <v>381</v>
      </c>
      <c r="O2" t="s">
        <v>221</v>
      </c>
      <c r="P2" t="s">
        <v>224</v>
      </c>
      <c r="Q2" t="s">
        <v>225</v>
      </c>
      <c r="R2" t="s">
        <v>226</v>
      </c>
      <c r="T2" t="s">
        <v>223</v>
      </c>
      <c r="Y2" s="5"/>
      <c r="Z2" s="5"/>
      <c r="AA2" s="1"/>
      <c r="AB2" s="2" t="s">
        <v>80</v>
      </c>
      <c r="AC2" s="1"/>
      <c r="AD2" s="1"/>
      <c r="AE2" s="4"/>
      <c r="AF2" s="3"/>
      <c r="AG2" s="3" t="s">
        <v>81</v>
      </c>
      <c r="AH2" s="3"/>
      <c r="AI2" s="3"/>
      <c r="AJ2" s="3"/>
      <c r="AK2" s="3"/>
      <c r="AL2" s="3"/>
      <c r="AM2" s="3"/>
      <c r="AN2" s="3"/>
      <c r="AQ2" s="146" t="s">
        <v>234</v>
      </c>
      <c r="AR2" s="146" t="s">
        <v>235</v>
      </c>
      <c r="AS2" s="146" t="s">
        <v>236</v>
      </c>
    </row>
    <row r="3" spans="2:45" ht="15" customHeight="1" x14ac:dyDescent="0.25">
      <c r="B3" s="85" t="str">
        <f>_xll.BQL("bonds('" &amp; Hub!D4 &amp; "')", "id", "showids", "false","cols=1;rows=5")</f>
        <v>id</v>
      </c>
      <c r="N3" s="85"/>
      <c r="Y3" s="7">
        <f ca="1">YEAR(Y4)</f>
        <v>2018</v>
      </c>
      <c r="Z3" s="7">
        <f ca="1">YEAR(Z4)</f>
        <v>2019</v>
      </c>
      <c r="AA3" s="7">
        <f t="shared" ref="AA3:AC3" ca="1" si="0">YEAR(AA4)</f>
        <v>2020</v>
      </c>
      <c r="AB3" s="7">
        <f t="shared" ca="1" si="0"/>
        <v>2021</v>
      </c>
      <c r="AC3" s="7">
        <f t="shared" ca="1" si="0"/>
        <v>2022</v>
      </c>
      <c r="AD3" s="7">
        <f ca="1">YEAR(AD4)</f>
        <v>2023</v>
      </c>
      <c r="AE3" s="8">
        <f ca="1">YEAR(AE4)</f>
        <v>2024</v>
      </c>
      <c r="AF3" s="8">
        <f t="shared" ref="AF3:AN3" ca="1" si="1">YEAR(AF4)</f>
        <v>2025</v>
      </c>
      <c r="AG3" s="8">
        <f t="shared" ca="1" si="1"/>
        <v>2026</v>
      </c>
      <c r="AH3" s="8">
        <f t="shared" ca="1" si="1"/>
        <v>2027</v>
      </c>
      <c r="AI3" s="8">
        <f t="shared" ca="1" si="1"/>
        <v>2028</v>
      </c>
      <c r="AJ3" s="8">
        <f t="shared" ca="1" si="1"/>
        <v>2029</v>
      </c>
      <c r="AK3" s="8">
        <f t="shared" ca="1" si="1"/>
        <v>2030</v>
      </c>
      <c r="AL3" s="8">
        <f t="shared" ca="1" si="1"/>
        <v>2031</v>
      </c>
      <c r="AM3" s="8">
        <f t="shared" ca="1" si="1"/>
        <v>2032</v>
      </c>
      <c r="AN3" s="8">
        <f t="shared" ca="1" si="1"/>
        <v>2033</v>
      </c>
      <c r="AP3" s="10" t="s">
        <v>237</v>
      </c>
    </row>
    <row r="4" spans="2:45" ht="15" customHeight="1" x14ac:dyDescent="0.25">
      <c r="B4" s="85" t="s">
        <v>488</v>
      </c>
      <c r="C4" s="297" cm="1">
        <f t="array" ref="C4">IFERROR(YEAR(_xll.BDP(B4,"DS035")), 0)</f>
        <v>2029</v>
      </c>
      <c r="D4" s="295" cm="1">
        <f t="array" ref="D4">IFERROR(_xll.BDP(B4,"DS033")/100, 0)</f>
        <v>4.6249999999999999E-2</v>
      </c>
      <c r="E4" s="295" t="str" cm="1">
        <f t="array" ref="E4">IFERROR(_xll.BDP(B4,"DS004"), 0)</f>
        <v>USD</v>
      </c>
      <c r="F4" s="296" cm="1">
        <f t="array" ref="F4">IFERROR(_xll.BDP(B4,"DS021")/1000000, 0)</f>
        <v>1200</v>
      </c>
      <c r="G4" s="296" cm="1">
        <f t="array" ref="G4">IFERROR(_xll.BDP(B4,"DS218")/1000000, 0)</f>
        <v>1200</v>
      </c>
      <c r="H4" s="296" cm="1">
        <f t="array" ref="H4">IFERROR(IF(E4=Hub!$D$8,F4, F4*((_xll.BDP(E4 &amp; Hub!$D$8 &amp; " Curncy", "PR005")/_xll.BDP(E4 &amp; Hub!$D$8 &amp; " Curncy", "DS672")))),0)</f>
        <v>1200</v>
      </c>
      <c r="I4" s="71"/>
      <c r="J4" s="279">
        <f ca="1">IFERROR(IF(C4=0,0,-PV(DCF!$D$12, C4-YEAR(DCF!$D$10), H4*D4, H4, 0)),"")</f>
        <v>1362.7932233294703</v>
      </c>
      <c r="L4" t="s">
        <v>367</v>
      </c>
      <c r="M4" s="85"/>
      <c r="N4" s="85" t="s">
        <v>384</v>
      </c>
      <c r="O4" s="309">
        <v>2033</v>
      </c>
      <c r="P4" s="316" cm="1">
        <f t="array" ref="P4">IF(F105=0, (_xll.BDP(Hub!D4,"VM010")/100)/(1-Hub!H10), SUMPRODUCT(D4:D103,F4:F103)/SUM(F4:F103))</f>
        <v>6.7167218120147087E-2</v>
      </c>
      <c r="Q4" s="66" t="s">
        <v>6</v>
      </c>
      <c r="R4" s="308" cm="1">
        <f t="array" ref="R4">_xll.BDP(Hub!D4, L4, "EQY_FUND_CRNCY", Hub!D8)-H105</f>
        <v>19400.101999999999</v>
      </c>
      <c r="T4" s="279">
        <f ca="1">IFERROR(-PV(DCF!$D$12, O4-YEAR(DCF!$D$10), R4*P4, R4, 0), "")</f>
        <v>27215.49180623523</v>
      </c>
      <c r="U4" s="279"/>
      <c r="Y4" s="9">
        <f t="shared" ref="Y4" ca="1" si="2">EOMONTH(Z4,-12)</f>
        <v>43465</v>
      </c>
      <c r="Z4" s="9">
        <f t="shared" ref="Z4" ca="1" si="3">EOMONTH(AA4,-12)</f>
        <v>43830</v>
      </c>
      <c r="AA4" s="9">
        <f t="shared" ref="AA4" ca="1" si="4">EOMONTH(AB4,-12)</f>
        <v>44196</v>
      </c>
      <c r="AB4" s="9">
        <f t="shared" ref="AB4" ca="1" si="5">EOMONTH(AC4,-12)</f>
        <v>44561</v>
      </c>
      <c r="AC4" s="9">
        <f ca="1">EOMONTH(AD4,-12)</f>
        <v>44926</v>
      </c>
      <c r="AD4" s="9">
        <f ca="1">DCF!I16</f>
        <v>45291</v>
      </c>
      <c r="AE4" s="9">
        <f ca="1">EOMONTH(AD4,12)</f>
        <v>45657</v>
      </c>
      <c r="AF4" s="9">
        <f t="shared" ref="AF4" ca="1" si="6">EOMONTH(AE4,12)</f>
        <v>46022</v>
      </c>
      <c r="AG4" s="9">
        <f t="shared" ref="AG4" ca="1" si="7">EOMONTH(AF4,12)</f>
        <v>46387</v>
      </c>
      <c r="AH4" s="9">
        <f t="shared" ref="AH4" ca="1" si="8">EOMONTH(AG4,12)</f>
        <v>46752</v>
      </c>
      <c r="AI4" s="9">
        <f t="shared" ref="AI4" ca="1" si="9">EOMONTH(AH4,12)</f>
        <v>47118</v>
      </c>
      <c r="AJ4" s="9">
        <f t="shared" ref="AJ4" ca="1" si="10">EOMONTH(AI4,12)</f>
        <v>47483</v>
      </c>
      <c r="AK4" s="9">
        <f t="shared" ref="AK4" ca="1" si="11">EOMONTH(AJ4,12)</f>
        <v>47848</v>
      </c>
      <c r="AL4" s="9">
        <f t="shared" ref="AL4" ca="1" si="12">EOMONTH(AK4,12)</f>
        <v>48213</v>
      </c>
      <c r="AM4" s="9">
        <f t="shared" ref="AM4" ca="1" si="13">EOMONTH(AL4,12)</f>
        <v>48579</v>
      </c>
      <c r="AN4" s="9">
        <f t="shared" ref="AN4" ca="1" si="14">EOMONTH(AM4,12)</f>
        <v>48944</v>
      </c>
    </row>
    <row r="5" spans="2:45" x14ac:dyDescent="0.25">
      <c r="B5" t="s">
        <v>489</v>
      </c>
      <c r="C5" s="297" cm="1">
        <f t="array" ref="C5">IFERROR(YEAR(_xll.BDP(B5,"DS035")), 0)</f>
        <v>2027</v>
      </c>
      <c r="D5" s="295" cm="1">
        <f t="array" ref="D5">IFERROR(_xll.BDP(B5,"DS033")/100, 0)</f>
        <v>8.1250000000000003E-2</v>
      </c>
      <c r="E5" s="295" t="str" cm="1">
        <f t="array" ref="E5">IFERROR(_xll.BDP(B5,"DS004"), 0)</f>
        <v>USD</v>
      </c>
      <c r="F5" s="296" cm="1">
        <f t="array" ref="F5">IFERROR(_xll.BDP(B5,"DS021")/1000000, 0)</f>
        <v>1610.8979999999999</v>
      </c>
      <c r="G5" s="296" cm="1">
        <f t="array" ref="G5">IFERROR(_xll.BDP(B5,"DS218")/1000000, 0)</f>
        <v>1800</v>
      </c>
      <c r="H5" s="296" cm="1">
        <f t="array" ref="H5">IFERROR(IF(E5=Hub!$D$8,F5, F5*((_xll.BDP(E5 &amp; Hub!$D$8 &amp; " Curncy", "PR005")/_xll.BDP(E5 &amp; Hub!$D$8 &amp; " Curncy", "DS672")))),0)</f>
        <v>1610.8979999999999</v>
      </c>
      <c r="I5" s="71"/>
      <c r="J5" s="279">
        <f ca="1">IFERROR(IF(C5=0,0,-PV(DCF!$D$12, C5-YEAR(DCF!$D$10), H5*D5, H5, 0)),"")</f>
        <v>1973.4286557619039</v>
      </c>
      <c r="O5" s="140"/>
      <c r="P5" s="244"/>
      <c r="Q5" s="66"/>
      <c r="R5" s="245"/>
      <c r="T5" s="279"/>
      <c r="U5" s="279"/>
      <c r="Y5" s="267" t="s">
        <v>359</v>
      </c>
      <c r="Z5" s="267" t="s">
        <v>357</v>
      </c>
      <c r="AA5" s="267" t="s">
        <v>356</v>
      </c>
      <c r="AB5" s="267" t="s">
        <v>355</v>
      </c>
      <c r="AC5" s="267" t="s">
        <v>353</v>
      </c>
      <c r="AD5" s="267" t="s">
        <v>354</v>
      </c>
    </row>
    <row r="6" spans="2:45" x14ac:dyDescent="0.25">
      <c r="B6" t="s">
        <v>490</v>
      </c>
      <c r="C6" s="297" cm="1">
        <f t="array" ref="C6">IFERROR(YEAR(_xll.BDP(B6,"DS035")), 0)</f>
        <v>2032</v>
      </c>
      <c r="D6" s="295" cm="1">
        <f t="array" ref="D6">IFERROR(_xll.BDP(B6,"DS033")/100, 0)</f>
        <v>6.5000000000000002E-2</v>
      </c>
      <c r="E6" s="295" t="str" cm="1">
        <f t="array" ref="E6">IFERROR(_xll.BDP(B6,"DS004"), 0)</f>
        <v>USD</v>
      </c>
      <c r="F6" s="296" cm="1">
        <f t="array" ref="F6">IFERROR(_xll.BDP(B6,"DS021")/1000000, 0)</f>
        <v>1500</v>
      </c>
      <c r="G6" s="296" cm="1">
        <f t="array" ref="G6">IFERROR(_xll.BDP(B6,"DS218")/1000000, 0)</f>
        <v>1500</v>
      </c>
      <c r="H6" s="296" cm="1">
        <f t="array" ref="H6">IFERROR(IF(E6=Hub!$D$8,F6, F6*((_xll.BDP(E6 &amp; Hub!$D$8 &amp; " Curncy", "PR005")/_xll.BDP(E6 &amp; Hub!$D$8 &amp; " Curncy", "DS672")))),0)</f>
        <v>1500</v>
      </c>
      <c r="I6" s="71"/>
      <c r="J6" s="279">
        <f ca="1">IFERROR(IF(C6=0,0,-PV(DCF!$D$12, C6-YEAR(DCF!$D$10), H6*D6, H6, 0)),"")</f>
        <v>2023.2668957195099</v>
      </c>
      <c r="X6" s="10" t="s">
        <v>227</v>
      </c>
      <c r="AP6" s="148">
        <f ca="1">AE3</f>
        <v>2024</v>
      </c>
      <c r="AQ6" s="95" cm="1">
        <f t="array" ref="AQ6">IF(COUNTBLANK(P4:P103)=100, IF(COUNTBLANK(D4:D103)=100, "N/A", SUMPRODUCT(D4:D103*H4:H103)/SUM(H4:H103)), SUMPRODUCT(P4:P103*R4:R103)/SUM(R4:R103))</f>
        <v>6.7167218120147087E-2</v>
      </c>
      <c r="AR6" s="241" t="e">
        <f>AE12</f>
        <v>#DIV/0!</v>
      </c>
      <c r="AS6" s="290" cm="1">
        <f t="array" aca="1" ref="AS6" ca="1">IF(COUNTBLANK(O4:O103)=100, IF(COUNTBLANK(C4:C103)=100, "N/A", SUMPRODUCT(C4:C103*H4:H103)/SUM(H4:H103)), SUMPRODUCT(O4:O103*R4:R103)/SUM(R4:R103))-YEAR(AE4)</f>
        <v>9</v>
      </c>
    </row>
    <row r="7" spans="2:45" x14ac:dyDescent="0.25">
      <c r="B7" t="s">
        <v>491</v>
      </c>
      <c r="C7" s="297" cm="1">
        <f t="array" ref="C7">IFERROR(YEAR(_xll.BDP(B7,"DS035")), 0)</f>
        <v>2030</v>
      </c>
      <c r="D7" s="295" cm="1">
        <f t="array" ref="D7">IFERROR(_xll.BDP(B7,"DS033")/100, 0)</f>
        <v>7.0000000000000007E-2</v>
      </c>
      <c r="E7" s="295" t="str" cm="1">
        <f t="array" ref="E7">IFERROR(_xll.BDP(B7,"DS004"), 0)</f>
        <v>USD</v>
      </c>
      <c r="F7" s="296" cm="1">
        <f t="array" ref="F7">IFERROR(_xll.BDP(B7,"DS021")/1000000, 0)</f>
        <v>2000</v>
      </c>
      <c r="G7" s="296" cm="1">
        <f t="array" ref="G7">IFERROR(_xll.BDP(B7,"DS218")/1000000, 0)</f>
        <v>2000</v>
      </c>
      <c r="H7" s="296" cm="1">
        <f t="array" ref="H7">IFERROR(IF(E7=Hub!$D$8,F7, F7*((_xll.BDP(E7 &amp; Hub!$D$8 &amp; " Curncy", "PR005")/_xll.BDP(E7 &amp; Hub!$D$8 &amp; " Curncy", "DS672")))),0)</f>
        <v>2000</v>
      </c>
      <c r="I7" s="71"/>
      <c r="J7" s="279">
        <f ca="1">IFERROR(IF(C7=0,0,-PV(DCF!$D$12, C7-YEAR(DCF!$D$10), H7*D7, H7, 0)),"")</f>
        <v>2618.4282390405692</v>
      </c>
      <c r="O7" s="140"/>
      <c r="P7" s="244"/>
      <c r="Q7" s="66"/>
      <c r="R7" s="245"/>
      <c r="T7" s="279"/>
      <c r="U7" s="279"/>
      <c r="AP7" s="148">
        <f ca="1">AF3</f>
        <v>2025</v>
      </c>
      <c r="AQ7" s="95">
        <f>AQ6</f>
        <v>6.7167218120147087E-2</v>
      </c>
      <c r="AR7" s="241" t="e">
        <f>AF12</f>
        <v>#DIV/0!</v>
      </c>
      <c r="AS7" s="290">
        <f ca="1">AS6</f>
        <v>9</v>
      </c>
    </row>
    <row r="8" spans="2:45" x14ac:dyDescent="0.25">
      <c r="C8" s="297" cm="1">
        <f t="array" ref="C8">IFERROR(YEAR(_xll.BDP(B8,"DS035")), 0)</f>
        <v>0</v>
      </c>
      <c r="D8" s="295" cm="1">
        <f t="array" ref="D8">IFERROR(_xll.BDP(B8,"DS033")/100, 0)</f>
        <v>0</v>
      </c>
      <c r="E8" s="295" t="str" cm="1">
        <f t="array" ref="E8">IFERROR(_xll.BDP(B8,"DS004"), 0)</f>
        <v>#N/A Mandatory parameter [SECURITY] cannot be empty</v>
      </c>
      <c r="F8" s="296" cm="1">
        <f t="array" ref="F8">IFERROR(_xll.BDP(B8,"DS021")/1000000, 0)</f>
        <v>0</v>
      </c>
      <c r="G8" s="296" cm="1">
        <f t="array" ref="G8">IFERROR(_xll.BDP(B8,"DS218")/1000000, 0)</f>
        <v>0</v>
      </c>
      <c r="H8" s="296" cm="1">
        <f t="array" ref="H8">IFERROR(IF(E8=Hub!$D$8,F8, F8*((_xll.BDP(E8 &amp; Hub!$D$8 &amp; " Curncy", "PR005")/_xll.BDP(E8 &amp; Hub!$D$8 &amp; " Curncy", "DS672")))),0)</f>
        <v>0</v>
      </c>
      <c r="I8" s="71"/>
      <c r="J8" s="279">
        <f>IFERROR(IF(C8=0,0,-PV(DCF!$D$12, C8-YEAR(DCF!$D$10), H8*D8, H8, 0)),"")</f>
        <v>0</v>
      </c>
      <c r="O8" s="140"/>
      <c r="P8" s="244"/>
      <c r="Q8" s="66"/>
      <c r="R8" s="245"/>
      <c r="T8" s="279"/>
      <c r="U8" s="279"/>
      <c r="X8" t="s">
        <v>228</v>
      </c>
      <c r="Y8" s="110"/>
      <c r="Z8" s="241">
        <f>Operating_Model!E136</f>
        <v>286.24799999999999</v>
      </c>
      <c r="AA8" s="241">
        <f>Operating_Model!F136</f>
        <v>1202</v>
      </c>
      <c r="AB8" s="241">
        <f>Operating_Model!G136</f>
        <v>2295</v>
      </c>
      <c r="AC8" s="241">
        <f>Operating_Model!H136</f>
        <v>2265</v>
      </c>
      <c r="AD8" s="241">
        <f>Operating_Model!I136</f>
        <v>2354</v>
      </c>
      <c r="AE8" s="241" cm="1">
        <f t="array" aca="1" ref="AE8" ca="1">(SUMPRODUCT(($C4:$C103&gt;=AE3)*($D4:$D103*$H4:$H103)))+(SUM(IF($O4:$O103&gt;=AE3, -IPMT($P4:$P103, 1, $O4:$O103-$AD3, $R4:$R103), 0)))+(SUM(IF($AP6:$AP15&lt;AE3,IFERROR(-IPMT($AQ6:$AQ15,AE3-$AP6:$AP15,$AS6:$AS15,$AR6:$AR15), 0),0)))</f>
        <v>1726.9363450871015</v>
      </c>
      <c r="AF8" s="241" cm="1">
        <f t="array" aca="1" ref="AF8" ca="1">(SUMPRODUCT(($C4:$C103&gt;=AF3)*($D4:$D103*$H4:$H103)))+(SUM(IF($O4:$O103&gt;=AF3, -IPMT($P4:$P103, 2, $O4:$O103-$AD3, $R4:$R103), 0)))+(SUM(IF($AP6:$AP15&lt;AF3,IFERROR(-IPMT($AQ6:$AQ15,AF3-$AP6:$AP15,$AS6:$AS15,$AR6:$AR15), 0),0)))</f>
        <v>1631.3554142821022</v>
      </c>
      <c r="AG8" s="241" cm="1">
        <f t="array" aca="1" ref="AG8" ca="1">(SUMPRODUCT(($C4:$C103&gt;=AG3)*($D4:$D103*$H4:$H103)))+(SUM(IF($O4:$O103&gt;=AG3, -IPMT($P4:$P103, 3, $O4:$O103-$AD3, $R4:$R103), 0)))+(SUM(IF($AP6:$AP15&lt;AG3,IFERROR(-IPMT($AQ6:$AQ15,AG3-$AP6:$AP15,$AS6:$AS15,$AR6:$AR15), 0),0)))</f>
        <v>1529.3545782495962</v>
      </c>
      <c r="AH8" s="241" cm="1">
        <f t="array" aca="1" ref="AH8" ca="1">(SUMPRODUCT(($C4:$C103&gt;=AH3)*($D4:$D103*$H4:$H103)))+(SUM(IF($O4:$O103&gt;=AH3, -IPMT($P4:$P103, 4, $O4:$O103-$AD3, $R4:$R103), 0)))+(SUM(IF($AP6:$AP15&lt;AH3,IFERROR(-IPMT($AQ6:$AQ15,AH3-$AP6:$AP15,$AS6:$AS15,$AR6:$AR15), 0),0)))</f>
        <v>1420.5026298148578</v>
      </c>
      <c r="AI8" s="241" cm="1">
        <f t="array" aca="1" ref="AI8" ca="1">(SUMPRODUCT(($C4:$C103&gt;=AI3)*($D4:$D103*$H4:$H103)))+(SUM(IF($O4:$O103&gt;=AI3, -IPMT($P4:$P103, 5, $O4:$O103-$AD3, $R4:$R103), 0)))+(SUM(IF($AP6:$AP15&lt;AI3,IFERROR(-IPMT($AQ6:$AQ15,AI3-$AP6:$AP15,$AS6:$AS15,$AR6:$AR15), 0),0)))</f>
        <v>1173.4539363168001</v>
      </c>
      <c r="AJ8" s="241" cm="1">
        <f t="array" aca="1" ref="AJ8" ca="1">(SUMPRODUCT(($C4:$C103&gt;=AJ3)*($D4:$D103*$H4:$H103)))+(SUM(IF($O4:$O103&gt;=AJ3, -IPMT($P4:$P103, 6, $O4:$O103-$AD3, $R4:$R103), 0)))+(SUM(IF($AP6:$AP15&lt;AJ3,IFERROR(-IPMT($AQ6:$AQ15,AJ3-$AP6:$AP15,$AS6:$AS15,$AR6:$AR15), 0),0)))</f>
        <v>1049.4883442447549</v>
      </c>
      <c r="AK8" s="241" cm="1">
        <f t="array" aca="1" ref="AK8" ca="1">(SUMPRODUCT(($C4:$C103&gt;=AK3)*($D4:$D103*$H4:$H103)))+(SUM(IF($O4:$O103&gt;=AK3, -IPMT($P4:$P103, 7, $O4:$O103-$AD3, $R4:$R103), 0)))+(SUM(IF($AP6:$AP15&lt;AK3,IFERROR(-IPMT($AQ6:$AQ15,AK3-$AP6:$AP15,$AS6:$AS15,$AR6:$AR15), 0),0)))</f>
        <v>861.69632821061384</v>
      </c>
      <c r="AL8" s="241" cm="1">
        <f t="array" aca="1" ref="AL8" ca="1">(SUMPRODUCT(($C4:$C103&gt;=AL3)*($D4:$D103*$H4:$H103)))+(SUM(IF($O4:$O103&gt;=AL3, -IPMT($P4:$P103, 8, $O4:$O103-$AD3, $R4:$R103), 0)))+(SUM(IF($AP6:$AP15&lt;AL3,IFERROR(-IPMT($AQ6:$AQ15,AL3-$AP6:$AP15,$AS6:$AS15,$AR6:$AR15), 0),0)))</f>
        <v>580.51862547995324</v>
      </c>
      <c r="AM8" s="241" cm="1">
        <f t="array" aca="1" ref="AM8" ca="1">(SUMPRODUCT(($C4:$C103&gt;=AM3)*($D4:$D103*$H4:$H103)))+(SUM(IF($O4:$O103&gt;=AM3, -IPMT($P4:$P103, 9, $O4:$O103-$AD3, $R4:$R103), 0)))+(SUM(IF($AP6:$AP15&lt;AM3,IFERROR(-IPMT($AQ6:$AQ15,AM3-$AP6:$AP15,$AS6:$AS15,$AR6:$AR15), 0),0)))</f>
        <v>429.85840919628112</v>
      </c>
      <c r="AN8" s="241" cm="1">
        <f t="array" aca="1" ref="AN8" ca="1">(SUMPRODUCT(($C4:$C103&gt;=AN3)*($D4:$D103*$H4:$H103)))+(SUM(IF($O4:$O103&gt;=AN3, -IPMT($P4:$P103, 10, $O4:$O103-$AD3, $R4:$R103), 0)))+(SUM(IF($AP6:$AP15&lt;AN3,IFERROR(-IPMT($AQ6:$AQ15,AN3-$AP6:$AP15,$AS6:$AS15,$AR6:$AR15), 0),0)))</f>
        <v>171.57876530345507</v>
      </c>
      <c r="AP8" s="148">
        <f ca="1">AG3</f>
        <v>2026</v>
      </c>
      <c r="AQ8" s="95">
        <f t="shared" ref="AQ8:AQ9" si="15">AQ7</f>
        <v>6.7167218120147087E-2</v>
      </c>
      <c r="AR8" s="241" t="e">
        <f>AG12</f>
        <v>#DIV/0!</v>
      </c>
      <c r="AS8" s="290">
        <f t="shared" ref="AS8:AS9" ca="1" si="16">AS7</f>
        <v>9</v>
      </c>
    </row>
    <row r="9" spans="2:45" x14ac:dyDescent="0.25">
      <c r="C9" s="297" cm="1">
        <f t="array" ref="C9">IFERROR(YEAR(_xll.BDP(B9,"DS035")), 0)</f>
        <v>0</v>
      </c>
      <c r="D9" s="295" cm="1">
        <f t="array" ref="D9">IFERROR(_xll.BDP(B9,"DS033")/100, 0)</f>
        <v>0</v>
      </c>
      <c r="E9" s="295" t="str" cm="1">
        <f t="array" ref="E9">IFERROR(_xll.BDP(B9,"DS004"), 0)</f>
        <v>#N/A Mandatory parameter [SECURITY] cannot be empty</v>
      </c>
      <c r="F9" s="296" cm="1">
        <f t="array" ref="F9">IFERROR(_xll.BDP(B9,"DS021")/1000000, 0)</f>
        <v>0</v>
      </c>
      <c r="G9" s="296" cm="1">
        <f t="array" ref="G9">IFERROR(_xll.BDP(B9,"DS218")/1000000, 0)</f>
        <v>0</v>
      </c>
      <c r="H9" s="296" cm="1">
        <f t="array" ref="H9">IFERROR(IF(E9=Hub!$D$8,F9, F9*((_xll.BDP(E9 &amp; Hub!$D$8 &amp; " Curncy", "PR005")/_xll.BDP(E9 &amp; Hub!$D$8 &amp; " Curncy", "DS672")))),0)</f>
        <v>0</v>
      </c>
      <c r="I9" s="71"/>
      <c r="J9" s="279">
        <f>IFERROR(IF(C9=0,0,-PV(DCF!$D$12, C9-YEAR(DCF!$D$10), H9*D9, H9, 0)),"")</f>
        <v>0</v>
      </c>
      <c r="O9" s="140"/>
      <c r="P9" s="244"/>
      <c r="Q9" s="66"/>
      <c r="R9" s="245"/>
      <c r="T9" s="279"/>
      <c r="U9" s="279"/>
      <c r="AF9" t="s">
        <v>229</v>
      </c>
      <c r="AP9" s="148">
        <f ca="1">AG3</f>
        <v>2026</v>
      </c>
      <c r="AQ9" s="95">
        <f t="shared" si="15"/>
        <v>6.7167218120147087E-2</v>
      </c>
      <c r="AR9" s="241" t="e">
        <f>AH12</f>
        <v>#DIV/0!</v>
      </c>
      <c r="AS9" s="290">
        <f t="shared" ca="1" si="16"/>
        <v>9</v>
      </c>
    </row>
    <row r="10" spans="2:45" ht="15" customHeight="1" x14ac:dyDescent="0.25">
      <c r="C10" s="297" cm="1">
        <f t="array" ref="C10">IFERROR(YEAR(_xll.BDP(B10,"DS035")), 0)</f>
        <v>0</v>
      </c>
      <c r="D10" s="295" cm="1">
        <f t="array" ref="D10">IFERROR(_xll.BDP(B10,"DS033")/100, 0)</f>
        <v>0</v>
      </c>
      <c r="E10" s="295" t="str" cm="1">
        <f t="array" ref="E10">IFERROR(_xll.BDP(B10,"DS004"), 0)</f>
        <v>#N/A Mandatory parameter [SECURITY] cannot be empty</v>
      </c>
      <c r="F10" s="296" cm="1">
        <f t="array" ref="F10">IFERROR(_xll.BDP(B10,"DS021")/1000000, 0)</f>
        <v>0</v>
      </c>
      <c r="G10" s="296" cm="1">
        <f t="array" ref="G10">IFERROR(_xll.BDP(B10,"DS218")/1000000, 0)</f>
        <v>0</v>
      </c>
      <c r="H10" s="296" cm="1">
        <f t="array" ref="H10">IFERROR(IF(E10=Hub!$D$8,F10, F10*((_xll.BDP(E10 &amp; Hub!$D$8 &amp; " Curncy", "PR005")/_xll.BDP(E10 &amp; Hub!$D$8 &amp; " Curncy", "DS672")))),0)</f>
        <v>0</v>
      </c>
      <c r="I10" s="71"/>
      <c r="J10" s="279">
        <f>IFERROR(IF(C10=0,0,-PV(DCF!$D$12, C10-YEAR(DCF!$D$10), H10*D10, H10, 0)),"")</f>
        <v>0</v>
      </c>
      <c r="O10" s="140"/>
      <c r="P10" s="244"/>
      <c r="Q10" s="66"/>
      <c r="R10" s="245"/>
      <c r="T10" s="279"/>
      <c r="U10" s="279"/>
      <c r="W10" t="s">
        <v>366</v>
      </c>
      <c r="X10" t="s">
        <v>230</v>
      </c>
      <c r="Y10" s="110"/>
      <c r="Z10" s="268" t="e" cm="1">
        <f t="array" ref="Z10">-_xll.BDP(Hub!$D$4,$W10,"EQY_FUND_RELATIVE_PERIOD",Z$5, "EQY_FUND_CRNCY", Hub!$D$8)</f>
        <v>#VALUE!</v>
      </c>
      <c r="AA10" s="268" t="e" cm="1">
        <f t="array" ref="AA10">-_xll.BDP(Hub!$D$4,$W10,"EQY_FUND_RELATIVE_PERIOD",AA$5, "EQY_FUND_CRNCY", Hub!$D$8)</f>
        <v>#VALUE!</v>
      </c>
      <c r="AB10" s="268" t="e" cm="1">
        <f t="array" ref="AB10">-_xll.BDP(Hub!$D$4,$W10,"EQY_FUND_RELATIVE_PERIOD",AB$5, "EQY_FUND_CRNCY", Hub!$D$8)</f>
        <v>#VALUE!</v>
      </c>
      <c r="AC10" s="268" t="e" cm="1">
        <f t="array" ref="AC10">-_xll.BDP(Hub!$D$4,$W10,"EQY_FUND_RELATIVE_PERIOD",AC$5, "EQY_FUND_CRNCY", Hub!$D$8)</f>
        <v>#VALUE!</v>
      </c>
      <c r="AD10" s="268" t="e" cm="1">
        <f t="array" ref="AD10">-_xll.BDP(Hub!$D$4,$W10,"EQY_FUND_RELATIVE_PERIOD",AD$5, "EQY_FUND_CRNCY", Hub!$D$8)</f>
        <v>#VALUE!</v>
      </c>
      <c r="AE10" s="287" cm="1">
        <f t="array" aca="1" ref="AE10" ca="1">(SUMIFS($H4:$H103, $C4:$C103, AE3))+(SUM(IF($O4:$O103&gt;=AE3, -PPMT($P4:$P103, 1, $O4:$O103-$AD3, $R4:$R103), 0)))+(SUM(IF($AP6:$AP15&lt;AE3,IFERROR(-PPMT($AQ6:$AQ15,AE3-$AP6:$AP15,$AS6:$AS15,$AR6:$AR15), 0),0)))</f>
        <v>1423.02947003145</v>
      </c>
      <c r="AF10" s="287" cm="1">
        <f t="array" aca="1" ref="AF10" ca="1">(SUMIFS($H4:$H103, $C4:$C103, AF3))+(SUM(IF($O4:$O103&gt;=AF3, -PPMT($P4:$P103, 2, $O4:$O103-$AD3, $R4:$R103), 0)))+(SUM(IF($AP6:$AP15&lt;AF3,IFERROR(-PPMT($AQ6:$AQ15,AF3-$AP6:$AP15,$AS6:$AS15,$AR6:$AR15), 0),0)))</f>
        <v>1518.6104008364498</v>
      </c>
      <c r="AG10" s="287" cm="1">
        <f t="array" aca="1" ref="AG10" ca="1">(SUMIFS($H4:$H103, $C4:$C103, AG3))+(SUM(IF($O4:$O103&gt;=AG3, -PPMT($P4:$P103, 3, $O4:$O103-$AD3, $R4:$R103), 0)))+(SUM(IF($AP6:$AP15&lt;AG3,IFERROR(-PPMT($AQ6:$AQ15,AG3-$AP6:$AP15,$AS6:$AS15,$AR6:$AR15), 0),0)))</f>
        <v>1620.6112368689555</v>
      </c>
      <c r="AH10" s="287" cm="1">
        <f t="array" aca="1" ref="AH10" ca="1">(SUMIFS($H4:$H103, $C4:$C103, AH3))+(SUM(IF($O4:$O103&gt;=AH3, -PPMT($P4:$P103, 4, $O4:$O103-$AD3, $R4:$R103), 0)))+(SUM(IF($AP6:$AP15&lt;AH3,IFERROR(-PPMT($AQ6:$AQ15,AH3-$AP6:$AP15,$AS6:$AS15,$AR6:$AR15), 0),0)))</f>
        <v>3340.3611853036937</v>
      </c>
      <c r="AI10" s="287" cm="1">
        <f t="array" aca="1" ref="AI10" ca="1">(SUMIFS($H4:$H103, $C4:$C103, AI3))+(SUM(IF($O4:$O103&gt;=AI3, -PPMT($P4:$P103, 5, $O4:$O103-$AD3, $R4:$R103), 0)))+(SUM(IF($AP6:$AP15&lt;AI3,IFERROR(-PPMT($AQ6:$AQ15,AI3-$AP6:$AP15,$AS6:$AS15,$AR6:$AR15), 0),0)))</f>
        <v>1845.6264163017515</v>
      </c>
      <c r="AJ10" s="287" cm="1">
        <f t="array" aca="1" ref="AJ10" ca="1">(SUMIFS($H4:$H103, $C4:$C103, AJ3))+(SUM(IF($O4:$O103&gt;=AJ3, -PPMT($P4:$P103, 6, $O4:$O103-$AD3, $R4:$R103), 0)))+(SUM(IF($AP6:$AP15&lt;AJ3,IFERROR(-PPMT($AQ6:$AQ15,AJ3-$AP6:$AP15,$AS6:$AS15,$AR6:$AR15), 0),0)))</f>
        <v>3169.5920083737965</v>
      </c>
      <c r="AK10" s="287" cm="1">
        <f t="array" aca="1" ref="AK10" ca="1">(SUMIFS($H4:$H103, $C4:$C103, AK3))+(SUM(IF($O4:$O103&gt;=AK3, -PPMT($P4:$P103, 7, $O4:$O103-$AD3, $R4:$R103), 0)))+(SUM(IF($AP6:$AP15&lt;AK3,IFERROR(-PPMT($AQ6:$AQ15,AK3-$AP6:$AP15,$AS6:$AS15,$AR6:$AR15), 0),0)))</f>
        <v>4101.8840244079383</v>
      </c>
      <c r="AL10" s="287" cm="1">
        <f t="array" aca="1" ref="AL10" ca="1">(SUMIFS($H4:$H103, $C4:$C103, AL3))+(SUM(IF($O4:$O103&gt;=AL3, -PPMT($P4:$P103, 8, $O4:$O103-$AD3, $R4:$R103), 0)))+(SUM(IF($AP6:$AP15&lt;AL3,IFERROR(-PPMT($AQ6:$AQ15,AL3-$AP6:$AP15,$AS6:$AS15,$AR6:$AR15), 0),0)))</f>
        <v>2243.0617271385991</v>
      </c>
      <c r="AM10" s="287" cm="1">
        <f t="array" aca="1" ref="AM10" ca="1">(SUMIFS($H4:$H103, $C4:$C103, AM3))+(SUM(IF($O4:$O103&gt;=AM3, -PPMT($P4:$P103, 9, $O4:$O103-$AD3, $R4:$R103), 0)))+(SUM(IF($AP6:$AP15&lt;AM3,IFERROR(-PPMT($AQ6:$AQ15,AM3-$AP6:$AP15,$AS6:$AS15,$AR6:$AR15), 0),0)))</f>
        <v>3893.7219434222707</v>
      </c>
      <c r="AN10" s="287" cm="1">
        <f t="array" aca="1" ref="AN10" ca="1">(SUMIFS($H4:$H103, $C4:$C103, AN3))+(SUM(IF($O4:$O103&gt;=AN3, -PPMT($P4:$P103, 10, $O4:$O103-$AD3, $R4:$R103), 0)))+(SUM(IF($AP6:$AP15&lt;AN3,IFERROR(-PPMT($AQ6:$AQ15,AN3-$AP6:$AP15,$AS6:$AS15,$AR6:$AR15), 0),0)))</f>
        <v>2554.5015873150969</v>
      </c>
      <c r="AP10" s="148">
        <f ca="1">AI3</f>
        <v>2028</v>
      </c>
      <c r="AQ10" s="95">
        <f>AQ9</f>
        <v>6.7167218120147087E-2</v>
      </c>
      <c r="AR10" s="241" t="e">
        <f>AI12</f>
        <v>#DIV/0!</v>
      </c>
      <c r="AS10" s="290">
        <f ca="1">AS9</f>
        <v>9</v>
      </c>
    </row>
    <row r="11" spans="2:45" x14ac:dyDescent="0.25">
      <c r="B11" s="85"/>
      <c r="C11" s="297" cm="1">
        <f t="array" ref="C11">IFERROR(YEAR(_xll.BDP(B11,"DS035")), 0)</f>
        <v>0</v>
      </c>
      <c r="D11" s="295" cm="1">
        <f t="array" ref="D11">IFERROR(_xll.BDP(B11,"DS033")/100, 0)</f>
        <v>0</v>
      </c>
      <c r="E11" s="295" t="str" cm="1">
        <f t="array" ref="E11">IFERROR(_xll.BDP(B11,"DS004"), 0)</f>
        <v>#N/A Mandatory parameter [SECURITY] cannot be empty</v>
      </c>
      <c r="F11" s="296" cm="1">
        <f t="array" ref="F11">IFERROR(_xll.BDP(B11,"DS021")/1000000, 0)</f>
        <v>0</v>
      </c>
      <c r="G11" s="296" cm="1">
        <f t="array" ref="G11">IFERROR(_xll.BDP(B11,"DS218")/1000000, 0)</f>
        <v>0</v>
      </c>
      <c r="H11" s="296" cm="1">
        <f t="array" ref="H11">IFERROR(IF(E11=Hub!$D$8,F11, F11*((_xll.BDP(E11 &amp; Hub!$D$8 &amp; " Curncy", "PR005")/_xll.BDP(E11 &amp; Hub!$D$8 &amp; " Curncy", "DS672")))),0)</f>
        <v>0</v>
      </c>
      <c r="I11" s="71"/>
      <c r="J11" s="279">
        <f>IFERROR(IF(C11=0,0,-PV(DCF!$D$12, C11-YEAR(DCF!$D$10), H11*D11, H11, 0)),"")</f>
        <v>0</v>
      </c>
      <c r="O11" s="140"/>
      <c r="P11" s="244"/>
      <c r="Q11" s="66"/>
      <c r="R11" s="245"/>
      <c r="T11" s="279"/>
      <c r="U11" s="279"/>
      <c r="Z11" s="269"/>
      <c r="AP11" s="148">
        <f ca="1">AJ3</f>
        <v>2029</v>
      </c>
      <c r="AQ11" s="95">
        <f t="shared" ref="AQ11:AQ15" si="17">AQ10</f>
        <v>6.7167218120147087E-2</v>
      </c>
      <c r="AR11" s="241" t="e">
        <f>AJ12</f>
        <v>#DIV/0!</v>
      </c>
      <c r="AS11" s="290">
        <f t="shared" ref="AS11:AS15" ca="1" si="18">AS10</f>
        <v>9</v>
      </c>
    </row>
    <row r="12" spans="2:45" ht="15" customHeight="1" x14ac:dyDescent="0.25">
      <c r="C12" s="297" cm="1">
        <f t="array" ref="C12">IFERROR(YEAR(_xll.BDP(B12,"DS035")), 0)</f>
        <v>0</v>
      </c>
      <c r="D12" s="295" cm="1">
        <f t="array" ref="D12">IFERROR(_xll.BDP(B12,"DS033")/100, 0)</f>
        <v>0</v>
      </c>
      <c r="E12" s="295" t="str" cm="1">
        <f t="array" ref="E12">IFERROR(_xll.BDP(B12,"DS004"), 0)</f>
        <v>#N/A Mandatory parameter [SECURITY] cannot be empty</v>
      </c>
      <c r="F12" s="296" cm="1">
        <f t="array" ref="F12">IFERROR(_xll.BDP(B12,"DS021")/1000000, 0)</f>
        <v>0</v>
      </c>
      <c r="G12" s="296" cm="1">
        <f t="array" ref="G12">IFERROR(_xll.BDP(B12,"DS218")/1000000, 0)</f>
        <v>0</v>
      </c>
      <c r="H12" s="296" cm="1">
        <f t="array" ref="H12">IFERROR(IF(E12=Hub!$D$8,F12, F12*((_xll.BDP(E12 &amp; Hub!$D$8 &amp; " Curncy", "PR005")/_xll.BDP(E12 &amp; Hub!$D$8 &amp; " Curncy", "DS672")))),0)</f>
        <v>0</v>
      </c>
      <c r="I12" s="71"/>
      <c r="J12" s="279">
        <f>IFERROR(IF(C12=0,0,-PV(DCF!$D$12, C12-YEAR(DCF!$D$10), H12*D12, H12, 0)),"")</f>
        <v>0</v>
      </c>
      <c r="O12" s="140"/>
      <c r="P12" s="244"/>
      <c r="Q12" s="66"/>
      <c r="R12" s="245"/>
      <c r="T12" s="279"/>
      <c r="U12" s="279"/>
      <c r="W12" t="s">
        <v>365</v>
      </c>
      <c r="X12" t="s">
        <v>231</v>
      </c>
      <c r="Y12" s="110"/>
      <c r="Z12" s="268" t="str" cm="1">
        <f t="array" ref="Z12">IF(_xll.BDP(Hub!$D$4,$W12,"EQY_FUND_RELATIVE_PERIOD",Z$5, "EQY_FUND_CRNCY", Hub!$D$8)=0, Z14-Y14+Z10, _xll.BDP(Hub!$D$4,$W12,"EQY_FUND_RELATIVE_PERIOD",Z$5, "EQY_FUND_CRNCY", Hub!$D$8))</f>
        <v>#N/A N/A</v>
      </c>
      <c r="AA12" s="268" t="str" cm="1">
        <f t="array" ref="AA12">IF(_xll.BDP(Hub!$D$4,$W12,"EQY_FUND_RELATIVE_PERIOD",AA$5, "EQY_FUND_CRNCY", Hub!$D$8)=0, AA14-Z14+AA10, _xll.BDP(Hub!$D$4,$W12,"EQY_FUND_RELATIVE_PERIOD",AA$5, "EQY_FUND_CRNCY", Hub!$D$8))</f>
        <v>#N/A N/A</v>
      </c>
      <c r="AB12" s="268" t="str" cm="1">
        <f t="array" ref="AB12">IF(_xll.BDP(Hub!$D$4,$W12,"EQY_FUND_RELATIVE_PERIOD",AB$5, "EQY_FUND_CRNCY", Hub!$D$8)=0, AB14-AA14+AB10, _xll.BDP(Hub!$D$4,$W12,"EQY_FUND_RELATIVE_PERIOD",AB$5, "EQY_FUND_CRNCY", Hub!$D$8))</f>
        <v>#N/A N/A</v>
      </c>
      <c r="AC12" s="268" t="str" cm="1">
        <f t="array" ref="AC12">IF(_xll.BDP(Hub!$D$4,$W12,"EQY_FUND_RELATIVE_PERIOD",AC$5, "EQY_FUND_CRNCY", Hub!$D$8)=0, AC14-AB14+AC10, _xll.BDP(Hub!$D$4,$W12,"EQY_FUND_RELATIVE_PERIOD",AC$5, "EQY_FUND_CRNCY", Hub!$D$8))</f>
        <v>#N/A N/A</v>
      </c>
      <c r="AD12" s="268" t="str" cm="1">
        <f t="array" ref="AD12">IF(_xll.BDP(Hub!$D$4,$W12,"EQY_FUND_RELATIVE_PERIOD",AD$5, "EQY_FUND_CRNCY", Hub!$D$8)=0, AD14-AC14+AD10, _xll.BDP(Hub!$D$4,$W12,"EQY_FUND_RELATIVE_PERIOD",AD$5, "EQY_FUND_CRNCY", Hub!$D$8))</f>
        <v>#N/A N/A</v>
      </c>
      <c r="AE12" s="288" t="e">
        <f>AVERAGE(Z12:AD12)</f>
        <v>#DIV/0!</v>
      </c>
      <c r="AF12" s="234" t="e">
        <f>AE12</f>
        <v>#DIV/0!</v>
      </c>
      <c r="AG12" s="234" t="e">
        <f t="shared" ref="AG12:AI12" si="19">AF12</f>
        <v>#DIV/0!</v>
      </c>
      <c r="AH12" s="234" t="e">
        <f t="shared" si="19"/>
        <v>#DIV/0!</v>
      </c>
      <c r="AI12" s="234" t="e">
        <f t="shared" si="19"/>
        <v>#DIV/0!</v>
      </c>
      <c r="AJ12" s="234" t="e">
        <f t="shared" ref="AJ12" si="20">AI12</f>
        <v>#DIV/0!</v>
      </c>
      <c r="AK12" s="234" t="e">
        <f>AJ12</f>
        <v>#DIV/0!</v>
      </c>
      <c r="AL12" s="234" t="e">
        <f t="shared" ref="AL12" si="21">AK12</f>
        <v>#DIV/0!</v>
      </c>
      <c r="AM12" s="234" t="e">
        <f t="shared" ref="AM12" si="22">AL12</f>
        <v>#DIV/0!</v>
      </c>
      <c r="AN12" s="234" t="e">
        <f t="shared" ref="AN12" si="23">AM12</f>
        <v>#DIV/0!</v>
      </c>
      <c r="AP12" s="148">
        <f ca="1">AK3</f>
        <v>2030</v>
      </c>
      <c r="AQ12" s="95">
        <f t="shared" si="17"/>
        <v>6.7167218120147087E-2</v>
      </c>
      <c r="AR12" s="241" t="e">
        <f>AK12</f>
        <v>#DIV/0!</v>
      </c>
      <c r="AS12" s="290">
        <f t="shared" ca="1" si="18"/>
        <v>9</v>
      </c>
    </row>
    <row r="13" spans="2:45" x14ac:dyDescent="0.25">
      <c r="C13" s="297" cm="1">
        <f t="array" ref="C13">IFERROR(YEAR(_xll.BDP(B13,"DS035")), 0)</f>
        <v>0</v>
      </c>
      <c r="D13" s="295" cm="1">
        <f t="array" ref="D13">IFERROR(_xll.BDP(B13,"DS033")/100, 0)</f>
        <v>0</v>
      </c>
      <c r="E13" s="295" t="str" cm="1">
        <f t="array" ref="E13">IFERROR(_xll.BDP(B13,"DS004"), 0)</f>
        <v>#N/A Mandatory parameter [SECURITY] cannot be empty</v>
      </c>
      <c r="F13" s="296" cm="1">
        <f t="array" ref="F13">IFERROR(_xll.BDP(B13,"DS021")/1000000, 0)</f>
        <v>0</v>
      </c>
      <c r="G13" s="296" cm="1">
        <f t="array" ref="G13">IFERROR(_xll.BDP(B13,"DS218")/1000000, 0)</f>
        <v>0</v>
      </c>
      <c r="H13" s="296" cm="1">
        <f t="array" ref="H13">IFERROR(IF(E13=Hub!$D$8,F13, F13*((_xll.BDP(E13 &amp; Hub!$D$8 &amp; " Curncy", "PR005")/_xll.BDP(E13 &amp; Hub!$D$8 &amp; " Curncy", "DS672")))),0)</f>
        <v>0</v>
      </c>
      <c r="I13" s="71"/>
      <c r="J13" s="279">
        <f>IFERROR(IF(C13=0,0,-PV(DCF!$D$12, C13-YEAR(DCF!$D$10), H13*D13, H13, 0)),"")</f>
        <v>0</v>
      </c>
      <c r="O13" s="140"/>
      <c r="P13" s="244"/>
      <c r="Q13" s="66"/>
      <c r="R13" s="245"/>
      <c r="T13" s="279"/>
      <c r="U13" s="279"/>
      <c r="AP13" s="148">
        <f ca="1">AL3</f>
        <v>2031</v>
      </c>
      <c r="AQ13" s="95">
        <f t="shared" si="17"/>
        <v>6.7167218120147087E-2</v>
      </c>
      <c r="AR13" s="241" t="e">
        <f>AL12</f>
        <v>#DIV/0!</v>
      </c>
      <c r="AS13" s="290">
        <f t="shared" ca="1" si="18"/>
        <v>9</v>
      </c>
    </row>
    <row r="14" spans="2:45" ht="15" customHeight="1" x14ac:dyDescent="0.25">
      <c r="C14" s="297" cm="1">
        <f t="array" ref="C14">IFERROR(YEAR(_xll.BDP(B14,"DS035")), 0)</f>
        <v>0</v>
      </c>
      <c r="D14" s="295" cm="1">
        <f t="array" ref="D14">IFERROR(_xll.BDP(B14,"DS033")/100, 0)</f>
        <v>0</v>
      </c>
      <c r="E14" s="295" t="str" cm="1">
        <f t="array" ref="E14">IFERROR(_xll.BDP(B14,"DS004"), 0)</f>
        <v>#N/A Mandatory parameter [SECURITY] cannot be empty</v>
      </c>
      <c r="F14" s="296" cm="1">
        <f t="array" ref="F14">IFERROR(_xll.BDP(B14,"DS021")/1000000, 0)</f>
        <v>0</v>
      </c>
      <c r="G14" s="296" cm="1">
        <f t="array" ref="G14">IFERROR(_xll.BDP(B14,"DS218")/1000000, 0)</f>
        <v>0</v>
      </c>
      <c r="H14" s="296" cm="1">
        <f t="array" ref="H14">IFERROR(IF(E14=Hub!$D$8,F14, F14*((_xll.BDP(E14 &amp; Hub!$D$8 &amp; " Curncy", "PR005")/_xll.BDP(E14 &amp; Hub!$D$8 &amp; " Curncy", "DS672")))),0)</f>
        <v>0</v>
      </c>
      <c r="I14" s="71"/>
      <c r="J14" s="279">
        <f>IFERROR(IF(C14=0,0,-PV(DCF!$D$12, C14-YEAR(DCF!$D$10), H14*D14, H14, 0)),"")</f>
        <v>0</v>
      </c>
      <c r="O14" s="140"/>
      <c r="P14" s="244"/>
      <c r="Q14" s="66"/>
      <c r="R14" s="245"/>
      <c r="T14" s="279"/>
      <c r="U14" s="279"/>
      <c r="W14" t="s">
        <v>367</v>
      </c>
      <c r="X14" s="101" t="s">
        <v>233</v>
      </c>
      <c r="Y14" s="311" cm="1">
        <f t="array" ref="Y14">_xll.BDP(Hub!$D$4,$W14,"EQY_FUND_RELATIVE_PERIOD",Y$5, "EQY_FUND_CRNCY", Hub!$D$8)</f>
        <v>4221.1080000000002</v>
      </c>
      <c r="Z14" s="311" cm="1">
        <f t="array" ref="Z14">_xll.BDP(Hub!$D$4,$W14,"EQY_FUND_RELATIVE_PERIOD",Z$5, "EQY_FUND_CRNCY", Hub!$D$8)</f>
        <v>3471.9919999999997</v>
      </c>
      <c r="AA14" s="311" cm="1">
        <f t="array" ref="AA14">_xll.BDP(Hub!$D$4,$W14,"EQY_FUND_RELATIVE_PERIOD",AA$5, "EQY_FUND_CRNCY", Hub!$D$8)</f>
        <v>26813</v>
      </c>
      <c r="AB14" s="311" cm="1">
        <f t="array" ref="AB14">_xll.BDP(Hub!$D$4,$W14,"EQY_FUND_RELATIVE_PERIOD",AB$5, "EQY_FUND_CRNCY", Hub!$D$8)</f>
        <v>26872</v>
      </c>
      <c r="AC14" s="311" cm="1">
        <f t="array" ref="AC14">_xll.BDP(Hub!$D$4,$W14,"EQY_FUND_RELATIVE_PERIOD",AC$5, "EQY_FUND_CRNCY", Hub!$D$8)</f>
        <v>25979</v>
      </c>
      <c r="AD14" s="311" cm="1">
        <f t="array" ref="AD14">_xll.BDP(Hub!$D$4,$W14,"EQY_FUND_RELATIVE_PERIOD",AD$5, "EQY_FUND_CRNCY", Hub!$D$8)</f>
        <v>25711</v>
      </c>
      <c r="AE14" s="310" t="e">
        <f ca="1">AD14-AE10+AE12</f>
        <v>#DIV/0!</v>
      </c>
      <c r="AF14" s="310" t="e">
        <f ca="1">AE14-AF10+AF12</f>
        <v>#DIV/0!</v>
      </c>
      <c r="AG14" s="310" t="e">
        <f t="shared" ref="AG14:AI14" ca="1" si="24">AF14-AG10+AG12</f>
        <v>#DIV/0!</v>
      </c>
      <c r="AH14" s="310" t="e">
        <f t="shared" ca="1" si="24"/>
        <v>#DIV/0!</v>
      </c>
      <c r="AI14" s="310" t="e">
        <f t="shared" ca="1" si="24"/>
        <v>#DIV/0!</v>
      </c>
      <c r="AJ14" s="310" t="e">
        <f t="shared" ref="AJ14" ca="1" si="25">AI14-AJ10+AJ12</f>
        <v>#DIV/0!</v>
      </c>
      <c r="AK14" s="310" t="e">
        <f t="shared" ref="AK14" ca="1" si="26">AJ14-AK10+AK12</f>
        <v>#DIV/0!</v>
      </c>
      <c r="AL14" s="310" t="e">
        <f t="shared" ref="AL14" ca="1" si="27">AK14-AL10+AL12</f>
        <v>#DIV/0!</v>
      </c>
      <c r="AM14" s="310" t="e">
        <f t="shared" ref="AM14" ca="1" si="28">AL14-AM10+AM12</f>
        <v>#DIV/0!</v>
      </c>
      <c r="AN14" s="310" t="e">
        <f t="shared" ref="AN14" ca="1" si="29">AM14-AN10+AN12</f>
        <v>#DIV/0!</v>
      </c>
      <c r="AP14" s="148">
        <f ca="1">AM3</f>
        <v>2032</v>
      </c>
      <c r="AQ14" s="95">
        <f t="shared" si="17"/>
        <v>6.7167218120147087E-2</v>
      </c>
      <c r="AR14" s="241" t="e">
        <f>AM12</f>
        <v>#DIV/0!</v>
      </c>
      <c r="AS14" s="290">
        <f t="shared" ca="1" si="18"/>
        <v>9</v>
      </c>
    </row>
    <row r="15" spans="2:45" x14ac:dyDescent="0.25">
      <c r="C15" s="297" cm="1">
        <f t="array" ref="C15">IFERROR(YEAR(_xll.BDP(B15,"DS035")), 0)</f>
        <v>0</v>
      </c>
      <c r="D15" s="295" cm="1">
        <f t="array" ref="D15">IFERROR(_xll.BDP(B15,"DS033")/100, 0)</f>
        <v>0</v>
      </c>
      <c r="E15" s="295" t="str" cm="1">
        <f t="array" ref="E15">IFERROR(_xll.BDP(B15,"DS004"), 0)</f>
        <v>#N/A Mandatory parameter [SECURITY] cannot be empty</v>
      </c>
      <c r="F15" s="296" cm="1">
        <f t="array" ref="F15">IFERROR(_xll.BDP(B15,"DS021")/1000000, 0)</f>
        <v>0</v>
      </c>
      <c r="G15" s="296" cm="1">
        <f t="array" ref="G15">IFERROR(_xll.BDP(B15,"DS218")/1000000, 0)</f>
        <v>0</v>
      </c>
      <c r="H15" s="296" cm="1">
        <f t="array" ref="H15">IFERROR(IF(E15=Hub!$D$8,F15, F15*((_xll.BDP(E15 &amp; Hub!$D$8 &amp; " Curncy", "PR005")/_xll.BDP(E15 &amp; Hub!$D$8 &amp; " Curncy", "DS672")))),0)</f>
        <v>0</v>
      </c>
      <c r="I15" s="71"/>
      <c r="J15" s="279">
        <f>IFERROR(IF(C15=0,0,-PV(DCF!$D$12, C15-YEAR(DCF!$D$10), H15*D15, H15, 0)),"")</f>
        <v>0</v>
      </c>
      <c r="O15" s="140"/>
      <c r="P15" s="244"/>
      <c r="Q15" s="66"/>
      <c r="R15" s="245"/>
      <c r="T15" s="279"/>
      <c r="U15" s="279"/>
      <c r="Z15" s="280"/>
      <c r="AP15" s="148">
        <f ca="1">AN3</f>
        <v>2033</v>
      </c>
      <c r="AQ15" s="95">
        <f t="shared" si="17"/>
        <v>6.7167218120147087E-2</v>
      </c>
      <c r="AR15" s="241" t="e">
        <f>AN12</f>
        <v>#DIV/0!</v>
      </c>
      <c r="AS15" s="290">
        <f t="shared" ca="1" si="18"/>
        <v>9</v>
      </c>
    </row>
    <row r="16" spans="2:45" ht="15" customHeight="1" x14ac:dyDescent="0.25">
      <c r="C16" s="297" cm="1">
        <f t="array" ref="C16">IFERROR(YEAR(_xll.BDP(B16,"DS035")), 0)</f>
        <v>0</v>
      </c>
      <c r="D16" s="295" cm="1">
        <f t="array" ref="D16">IFERROR(_xll.BDP(B16,"DS033")/100, 0)</f>
        <v>0</v>
      </c>
      <c r="E16" s="295" t="str" cm="1">
        <f t="array" ref="E16">IFERROR(_xll.BDP(B16,"DS004"), 0)</f>
        <v>#N/A Mandatory parameter [SECURITY] cannot be empty</v>
      </c>
      <c r="F16" s="296" cm="1">
        <f t="array" ref="F16">IFERROR(_xll.BDP(B16,"DS021")/1000000, 0)</f>
        <v>0</v>
      </c>
      <c r="G16" s="296" cm="1">
        <f t="array" ref="G16">IFERROR(_xll.BDP(B16,"DS218")/1000000, 0)</f>
        <v>0</v>
      </c>
      <c r="H16" s="296" cm="1">
        <f t="array" ref="H16">IFERROR(IF(E16=Hub!$D$8,F16, F16*((_xll.BDP(E16 &amp; Hub!$D$8 &amp; " Curncy", "PR005")/_xll.BDP(E16 &amp; Hub!$D$8 &amp; " Curncy", "DS672")))),0)</f>
        <v>0</v>
      </c>
      <c r="I16" s="71"/>
      <c r="J16" s="279">
        <f>IFERROR(IF(C16=0,0,-PV(DCF!$D$12, C16-YEAR(DCF!$D$10), H16*D16, H16, 0)),"")</f>
        <v>0</v>
      </c>
      <c r="O16" s="140"/>
      <c r="P16" s="244"/>
      <c r="Q16" s="66"/>
      <c r="R16" s="245"/>
      <c r="T16" s="279"/>
      <c r="U16" s="279"/>
      <c r="AD16" s="312" t="e">
        <f>IF(AD14=AC14-AD10+AD12, "Balanced", "Unbalanced")</f>
        <v>#VALUE!</v>
      </c>
      <c r="AF16" t="s">
        <v>232</v>
      </c>
    </row>
    <row r="17" spans="3:43" x14ac:dyDescent="0.25">
      <c r="C17" s="297" cm="1">
        <f t="array" ref="C17">IFERROR(YEAR(_xll.BDP(B17,"DS035")), 0)</f>
        <v>0</v>
      </c>
      <c r="D17" s="295" cm="1">
        <f t="array" ref="D17">IFERROR(_xll.BDP(B17,"DS033")/100, 0)</f>
        <v>0</v>
      </c>
      <c r="E17" s="295" t="str" cm="1">
        <f t="array" ref="E17">IFERROR(_xll.BDP(B17,"DS004"), 0)</f>
        <v>#N/A Mandatory parameter [SECURITY] cannot be empty</v>
      </c>
      <c r="F17" s="296" cm="1">
        <f t="array" ref="F17">IFERROR(_xll.BDP(B17,"DS021")/1000000, 0)</f>
        <v>0</v>
      </c>
      <c r="G17" s="296" cm="1">
        <f t="array" ref="G17">IFERROR(_xll.BDP(B17,"DS218")/1000000, 0)</f>
        <v>0</v>
      </c>
      <c r="H17" s="296" cm="1">
        <f t="array" ref="H17">IFERROR(IF(E17=Hub!$D$8,F17, F17*((_xll.BDP(E17 &amp; Hub!$D$8 &amp; " Curncy", "PR005")/_xll.BDP(E17 &amp; Hub!$D$8 &amp; " Curncy", "DS672")))),0)</f>
        <v>0</v>
      </c>
      <c r="I17" s="71"/>
      <c r="J17" s="279">
        <f>IFERROR(IF(C17=0,0,-PV(DCF!$D$12, C17-YEAR(DCF!$D$10), H17*D17, H17, 0)),"")</f>
        <v>0</v>
      </c>
      <c r="O17" s="140"/>
      <c r="P17" s="244"/>
      <c r="Q17" s="66"/>
      <c r="R17" s="245"/>
      <c r="T17" s="279"/>
      <c r="U17" s="279"/>
    </row>
    <row r="18" spans="3:43" x14ac:dyDescent="0.25">
      <c r="C18" s="297" cm="1">
        <f t="array" ref="C18">IFERROR(YEAR(_xll.BDP(B18,"DS035")), 0)</f>
        <v>0</v>
      </c>
      <c r="D18" s="295" cm="1">
        <f t="array" ref="D18">IFERROR(_xll.BDP(B18,"DS033")/100, 0)</f>
        <v>0</v>
      </c>
      <c r="E18" s="295" t="str" cm="1">
        <f t="array" ref="E18">IFERROR(_xll.BDP(B18,"DS004"), 0)</f>
        <v>#N/A Mandatory parameter [SECURITY] cannot be empty</v>
      </c>
      <c r="F18" s="296" cm="1">
        <f t="array" ref="F18">IFERROR(_xll.BDP(B18,"DS021")/1000000, 0)</f>
        <v>0</v>
      </c>
      <c r="G18" s="296" cm="1">
        <f t="array" ref="G18">IFERROR(_xll.BDP(B18,"DS218")/1000000, 0)</f>
        <v>0</v>
      </c>
      <c r="H18" s="296" cm="1">
        <f t="array" ref="H18">IFERROR(IF(E18=Hub!$D$8,F18, F18*((_xll.BDP(E18 &amp; Hub!$D$8 &amp; " Curncy", "PR005")/_xll.BDP(E18 &amp; Hub!$D$8 &amp; " Curncy", "DS672")))),0)</f>
        <v>0</v>
      </c>
      <c r="I18" s="71"/>
      <c r="J18" s="279">
        <f>IFERROR(IF(C18=0,0,-PV(DCF!$D$12, C18-YEAR(DCF!$D$10), H18*D18, H18, 0)),"")</f>
        <v>0</v>
      </c>
      <c r="O18" s="140"/>
      <c r="P18" s="244"/>
      <c r="Q18" s="66"/>
      <c r="R18" s="245"/>
      <c r="T18" s="279"/>
      <c r="U18" s="279"/>
      <c r="AC18" s="280"/>
    </row>
    <row r="19" spans="3:43" x14ac:dyDescent="0.25">
      <c r="C19" s="297" cm="1">
        <f t="array" ref="C19">IFERROR(YEAR(_xll.BDP(B19,"DS035")), 0)</f>
        <v>0</v>
      </c>
      <c r="D19" s="295" cm="1">
        <f t="array" ref="D19">IFERROR(_xll.BDP(B19,"DS033")/100, 0)</f>
        <v>0</v>
      </c>
      <c r="E19" s="295" t="str" cm="1">
        <f t="array" ref="E19">IFERROR(_xll.BDP(B19,"DS004"), 0)</f>
        <v>#N/A Mandatory parameter [SECURITY] cannot be empty</v>
      </c>
      <c r="F19" s="296" cm="1">
        <f t="array" ref="F19">IFERROR(_xll.BDP(B19,"DS021")/1000000, 0)</f>
        <v>0</v>
      </c>
      <c r="G19" s="296" cm="1">
        <f t="array" ref="G19">IFERROR(_xll.BDP(B19,"DS218")/1000000, 0)</f>
        <v>0</v>
      </c>
      <c r="H19" s="296" cm="1">
        <f t="array" ref="H19">IFERROR(IF(E19=Hub!$D$8,F19, F19*((_xll.BDP(E19 &amp; Hub!$D$8 &amp; " Curncy", "PR005")/_xll.BDP(E19 &amp; Hub!$D$8 &amp; " Curncy", "DS672")))),0)</f>
        <v>0</v>
      </c>
      <c r="I19" s="71"/>
      <c r="J19" s="279">
        <f>IFERROR(IF(C19=0,0,-PV(DCF!$D$12, C19-YEAR(DCF!$D$10), H19*D19, H19, 0)),"")</f>
        <v>0</v>
      </c>
      <c r="O19" s="140"/>
      <c r="P19" s="244"/>
      <c r="Q19" s="66"/>
      <c r="R19" s="245"/>
      <c r="T19" s="279"/>
      <c r="U19" s="279"/>
      <c r="AH19" s="148"/>
    </row>
    <row r="20" spans="3:43" x14ac:dyDescent="0.25">
      <c r="C20" s="297" cm="1">
        <f t="array" ref="C20">IFERROR(YEAR(_xll.BDP(B20,"DS035")), 0)</f>
        <v>0</v>
      </c>
      <c r="D20" s="295" cm="1">
        <f t="array" ref="D20">IFERROR(_xll.BDP(B20,"DS033")/100, 0)</f>
        <v>0</v>
      </c>
      <c r="E20" s="295" t="str" cm="1">
        <f t="array" ref="E20">IFERROR(_xll.BDP(B20,"DS004"), 0)</f>
        <v>#N/A Mandatory parameter [SECURITY] cannot be empty</v>
      </c>
      <c r="F20" s="296" cm="1">
        <f t="array" ref="F20">IFERROR(_xll.BDP(B20,"DS021")/1000000, 0)</f>
        <v>0</v>
      </c>
      <c r="G20" s="296" cm="1">
        <f t="array" ref="G20">IFERROR(_xll.BDP(B20,"DS218")/1000000, 0)</f>
        <v>0</v>
      </c>
      <c r="H20" s="296" cm="1">
        <f t="array" ref="H20">IFERROR(IF(E20=Hub!$D$8,F20, F20*((_xll.BDP(E20 &amp; Hub!$D$8 &amp; " Curncy", "PR005")/_xll.BDP(E20 &amp; Hub!$D$8 &amp; " Curncy", "DS672")))),0)</f>
        <v>0</v>
      </c>
      <c r="I20" s="71"/>
      <c r="J20" s="279">
        <f>IFERROR(IF(C20=0,0,-PV(DCF!$D$12, C20-YEAR(DCF!$D$10), H20*D20, H20, 0)),"")</f>
        <v>0</v>
      </c>
      <c r="O20" s="140"/>
      <c r="P20" s="244"/>
      <c r="Q20" s="66"/>
      <c r="R20" s="252"/>
      <c r="T20" s="279"/>
      <c r="U20" s="279"/>
    </row>
    <row r="21" spans="3:43" x14ac:dyDescent="0.25">
      <c r="C21" s="297" cm="1">
        <f t="array" ref="C21">IFERROR(YEAR(_xll.BDP(B21,"DS035")), 0)</f>
        <v>0</v>
      </c>
      <c r="D21" s="295" cm="1">
        <f t="array" ref="D21">IFERROR(_xll.BDP(B21,"DS033")/100, 0)</f>
        <v>0</v>
      </c>
      <c r="E21" s="295" t="str" cm="1">
        <f t="array" ref="E21">IFERROR(_xll.BDP(B21,"DS004"), 0)</f>
        <v>#N/A Mandatory parameter [SECURITY] cannot be empty</v>
      </c>
      <c r="F21" s="296" cm="1">
        <f t="array" ref="F21">IFERROR(_xll.BDP(B21,"DS021")/1000000, 0)</f>
        <v>0</v>
      </c>
      <c r="G21" s="296" cm="1">
        <f t="array" ref="G21">IFERROR(_xll.BDP(B21,"DS218")/1000000, 0)</f>
        <v>0</v>
      </c>
      <c r="H21" s="296" cm="1">
        <f t="array" ref="H21">IFERROR(IF(E21=Hub!$D$8,F21, F21*((_xll.BDP(E21 &amp; Hub!$D$8 &amp; " Curncy", "PR005")/_xll.BDP(E21 &amp; Hub!$D$8 &amp; " Curncy", "DS672")))),0)</f>
        <v>0</v>
      </c>
      <c r="I21" s="71"/>
      <c r="J21" s="279">
        <f>IFERROR(IF(C21=0,0,-PV(DCF!$D$12, C21-YEAR(DCF!$D$10), H21*D21, H21, 0)),"")</f>
        <v>0</v>
      </c>
      <c r="O21" s="140"/>
      <c r="P21" s="244"/>
      <c r="Q21" s="66"/>
      <c r="R21" s="245"/>
      <c r="T21" s="279"/>
      <c r="U21" s="279"/>
      <c r="AQ21" s="85"/>
    </row>
    <row r="22" spans="3:43" x14ac:dyDescent="0.25">
      <c r="C22" s="297" cm="1">
        <f t="array" ref="C22">IFERROR(YEAR(_xll.BDP(B22,"DS035")), 0)</f>
        <v>0</v>
      </c>
      <c r="D22" s="295" cm="1">
        <f t="array" ref="D22">IFERROR(_xll.BDP(B22,"DS033")/100, 0)</f>
        <v>0</v>
      </c>
      <c r="E22" s="295" t="str" cm="1">
        <f t="array" ref="E22">IFERROR(_xll.BDP(B22,"DS004"), 0)</f>
        <v>#N/A Mandatory parameter [SECURITY] cannot be empty</v>
      </c>
      <c r="F22" s="296" cm="1">
        <f t="array" ref="F22">IFERROR(_xll.BDP(B22,"DS021")/1000000, 0)</f>
        <v>0</v>
      </c>
      <c r="G22" s="296" cm="1">
        <f t="array" ref="G22">IFERROR(_xll.BDP(B22,"DS218")/1000000, 0)</f>
        <v>0</v>
      </c>
      <c r="H22" s="296" cm="1">
        <f t="array" ref="H22">IFERROR(IF(E22=Hub!$D$8,F22, F22*((_xll.BDP(E22 &amp; Hub!$D$8 &amp; " Curncy", "PR005")/_xll.BDP(E22 &amp; Hub!$D$8 &amp; " Curncy", "DS672")))),0)</f>
        <v>0</v>
      </c>
      <c r="I22" s="71"/>
      <c r="J22" s="279">
        <f>IFERROR(IF(C22=0,0,-PV(DCF!$D$12, C22-YEAR(DCF!$D$10), H22*D22, H22, 0)),"")</f>
        <v>0</v>
      </c>
      <c r="O22" s="140"/>
      <c r="P22" s="244"/>
      <c r="Q22" s="66"/>
      <c r="R22" s="245"/>
      <c r="T22" s="279"/>
      <c r="U22" s="279"/>
      <c r="X22" s="117" t="str">
        <f>IF(Hub!D87="Yes", "Bank Loan Calculator Disabled", IF(AND(Hub!H28="Yes", Hub!H30="Yes"), "Bank Loan Calculator Enabled", "Bank Loan Calculator Disabled"))</f>
        <v>Bank Loan Calculator Disabled</v>
      </c>
    </row>
    <row r="23" spans="3:43" x14ac:dyDescent="0.25">
      <c r="C23" s="297" cm="1">
        <f t="array" ref="C23">IFERROR(YEAR(_xll.BDP(B23,"DS035")), 0)</f>
        <v>0</v>
      </c>
      <c r="D23" s="295" cm="1">
        <f t="array" ref="D23">IFERROR(_xll.BDP(B23,"DS033")/100, 0)</f>
        <v>0</v>
      </c>
      <c r="E23" s="295" t="str" cm="1">
        <f t="array" ref="E23">IFERROR(_xll.BDP(B23,"DS004"), 0)</f>
        <v>#N/A Mandatory parameter [SECURITY] cannot be empty</v>
      </c>
      <c r="F23" s="296" cm="1">
        <f t="array" ref="F23">IFERROR(_xll.BDP(B23,"DS021")/1000000, 0)</f>
        <v>0</v>
      </c>
      <c r="G23" s="296" cm="1">
        <f t="array" ref="G23">IFERROR(_xll.BDP(B23,"DS218")/1000000, 0)</f>
        <v>0</v>
      </c>
      <c r="H23" s="296" cm="1">
        <f t="array" ref="H23">IFERROR(IF(E23=Hub!$D$8,F23, F23*((_xll.BDP(E23 &amp; Hub!$D$8 &amp; " Curncy", "PR005")/_xll.BDP(E23 &amp; Hub!$D$8 &amp; " Curncy", "DS672")))),0)</f>
        <v>0</v>
      </c>
      <c r="I23" s="71"/>
      <c r="J23" s="279">
        <f>IFERROR(IF(C23=0,0,-PV(DCF!$D$12, C23-YEAR(DCF!$D$10), H23*D23, H23, 0)),"")</f>
        <v>0</v>
      </c>
      <c r="O23" s="140"/>
      <c r="P23" s="244"/>
      <c r="Q23" s="66"/>
      <c r="R23" s="245"/>
      <c r="T23" s="279"/>
      <c r="U23" s="279"/>
    </row>
    <row r="24" spans="3:43" x14ac:dyDescent="0.25">
      <c r="C24" s="297" cm="1">
        <f t="array" ref="C24">IFERROR(YEAR(_xll.BDP(B24,"DS035")), 0)</f>
        <v>0</v>
      </c>
      <c r="D24" s="295" cm="1">
        <f t="array" ref="D24">IFERROR(_xll.BDP(B24,"DS033")/100, 0)</f>
        <v>0</v>
      </c>
      <c r="E24" s="295" t="str" cm="1">
        <f t="array" ref="E24">IFERROR(_xll.BDP(B24,"DS004"), 0)</f>
        <v>#N/A Mandatory parameter [SECURITY] cannot be empty</v>
      </c>
      <c r="F24" s="296" cm="1">
        <f t="array" ref="F24">IFERROR(_xll.BDP(B24,"DS021")/1000000, 0)</f>
        <v>0</v>
      </c>
      <c r="G24" s="296" cm="1">
        <f t="array" ref="G24">IFERROR(_xll.BDP(B24,"DS218")/1000000, 0)</f>
        <v>0</v>
      </c>
      <c r="H24" s="296" cm="1">
        <f t="array" ref="H24">IFERROR(IF(E24=Hub!$D$8,F24, F24*((_xll.BDP(E24 &amp; Hub!$D$8 &amp; " Curncy", "PR005")/_xll.BDP(E24 &amp; Hub!$D$8 &amp; " Curncy", "DS672")))),0)</f>
        <v>0</v>
      </c>
      <c r="I24" s="71"/>
      <c r="J24" s="279">
        <f>IFERROR(IF(C24=0,0,-PV(DCF!$D$12, C24-YEAR(DCF!$D$10), H24*D24, H24, 0)),"")</f>
        <v>0</v>
      </c>
      <c r="P24" s="246"/>
      <c r="R24" s="234"/>
      <c r="T24" s="279"/>
      <c r="U24" s="279"/>
      <c r="X24" s="117" t="str">
        <f>IF(Hub!D87="Yes","Bond Market Value Calculator Disabled",IF(AND(Hub!H28="Yes",Hub!D30="Yes"),"Bond Market Value Calculator Enabled","Bond Market Value Calculator Disabled"))</f>
        <v>Bond Market Value Calculator Disabled</v>
      </c>
    </row>
    <row r="25" spans="3:43" x14ac:dyDescent="0.25">
      <c r="C25" s="297" cm="1">
        <f t="array" ref="C25">IFERROR(YEAR(_xll.BDP(B25,"DS035")), 0)</f>
        <v>0</v>
      </c>
      <c r="D25" s="295" cm="1">
        <f t="array" ref="D25">IFERROR(_xll.BDP(B25,"DS033")/100, 0)</f>
        <v>0</v>
      </c>
      <c r="E25" s="295" t="str" cm="1">
        <f t="array" ref="E25">IFERROR(_xll.BDP(B25,"DS004"), 0)</f>
        <v>#N/A Mandatory parameter [SECURITY] cannot be empty</v>
      </c>
      <c r="F25" s="296" cm="1">
        <f t="array" ref="F25">IFERROR(_xll.BDP(B25,"DS021")/1000000, 0)</f>
        <v>0</v>
      </c>
      <c r="G25" s="296" cm="1">
        <f t="array" ref="G25">IFERROR(_xll.BDP(B25,"DS218")/1000000, 0)</f>
        <v>0</v>
      </c>
      <c r="H25" s="296" cm="1">
        <f t="array" ref="H25">IFERROR(IF(E25=Hub!$D$8,F25, F25*((_xll.BDP(E25 &amp; Hub!$D$8 &amp; " Curncy", "PR005")/_xll.BDP(E25 &amp; Hub!$D$8 &amp; " Curncy", "DS672")))),0)</f>
        <v>0</v>
      </c>
      <c r="I25" s="71"/>
      <c r="J25" s="279">
        <f>IFERROR(IF(C25=0,0,-PV(DCF!$D$12, C25-YEAR(DCF!$D$10), H25*D25, H25, 0)),"")</f>
        <v>0</v>
      </c>
      <c r="T25" s="279"/>
      <c r="U25" s="279"/>
    </row>
    <row r="26" spans="3:43" x14ac:dyDescent="0.25">
      <c r="C26" s="297" cm="1">
        <f t="array" ref="C26">IFERROR(YEAR(_xll.BDP(B26,"DS035")), 0)</f>
        <v>0</v>
      </c>
      <c r="D26" s="295" cm="1">
        <f t="array" ref="D26">IFERROR(_xll.BDP(B26,"DS033")/100, 0)</f>
        <v>0</v>
      </c>
      <c r="E26" s="295" t="str" cm="1">
        <f t="array" ref="E26">IFERROR(_xll.BDP(B26,"DS004"), 0)</f>
        <v>#N/A Mandatory parameter [SECURITY] cannot be empty</v>
      </c>
      <c r="F26" s="296" cm="1">
        <f t="array" ref="F26">IFERROR(_xll.BDP(B26,"DS021")/1000000, 0)</f>
        <v>0</v>
      </c>
      <c r="G26" s="296" cm="1">
        <f t="array" ref="G26">IFERROR(_xll.BDP(B26,"DS218")/1000000, 0)</f>
        <v>0</v>
      </c>
      <c r="H26" s="296" cm="1">
        <f t="array" ref="H26">IFERROR(IF(E26=Hub!$D$8,F26, F26*((_xll.BDP(E26 &amp; Hub!$D$8 &amp; " Curncy", "PR005")/_xll.BDP(E26 &amp; Hub!$D$8 &amp; " Curncy", "DS672")))),0)</f>
        <v>0</v>
      </c>
      <c r="I26" s="71"/>
      <c r="J26" s="279">
        <f>IFERROR(IF(C26=0,0,-PV(DCF!$D$12, C26-YEAR(DCF!$D$10), H26*D26, H26, 0)),"")</f>
        <v>0</v>
      </c>
      <c r="T26" s="279"/>
      <c r="U26" s="279"/>
    </row>
    <row r="27" spans="3:43" ht="15.75" thickBot="1" x14ac:dyDescent="0.3">
      <c r="C27" s="297" cm="1">
        <f t="array" ref="C27">IFERROR(YEAR(_xll.BDP(B27,"DS035")), 0)</f>
        <v>0</v>
      </c>
      <c r="D27" s="295" cm="1">
        <f t="array" ref="D27">IFERROR(_xll.BDP(B27,"DS033")/100, 0)</f>
        <v>0</v>
      </c>
      <c r="E27" s="295" t="str" cm="1">
        <f t="array" ref="E27">IFERROR(_xll.BDP(B27,"DS004"), 0)</f>
        <v>#N/A Mandatory parameter [SECURITY] cannot be empty</v>
      </c>
      <c r="F27" s="296" cm="1">
        <f t="array" ref="F27">IFERROR(_xll.BDP(B27,"DS021")/1000000, 0)</f>
        <v>0</v>
      </c>
      <c r="G27" s="296" cm="1">
        <f t="array" ref="G27">IFERROR(_xll.BDP(B27,"DS218")/1000000, 0)</f>
        <v>0</v>
      </c>
      <c r="H27" s="296" cm="1">
        <f t="array" ref="H27">IFERROR(IF(E27=Hub!$D$8,F27, F27*((_xll.BDP(E27 &amp; Hub!$D$8 &amp; " Curncy", "PR005")/_xll.BDP(E27 &amp; Hub!$D$8 &amp; " Curncy", "DS672")))),0)</f>
        <v>0</v>
      </c>
      <c r="I27" s="71"/>
      <c r="J27" s="279">
        <f>IFERROR(IF(C27=0,0,-PV(DCF!$D$12, C27-YEAR(DCF!$D$10), H27*D27, H27, 0)),"")</f>
        <v>0</v>
      </c>
      <c r="T27" s="279"/>
      <c r="U27" s="279"/>
      <c r="W27" s="19"/>
      <c r="X27" s="19"/>
      <c r="Y27" s="19"/>
      <c r="Z27" s="19"/>
      <c r="AA27" s="19"/>
      <c r="AB27" s="19"/>
      <c r="AC27" s="19"/>
      <c r="AD27" s="19"/>
      <c r="AE27" s="19"/>
      <c r="AF27" s="19"/>
      <c r="AG27" s="19"/>
      <c r="AH27" s="19"/>
      <c r="AI27" s="19"/>
      <c r="AJ27" s="19"/>
      <c r="AK27" s="19"/>
      <c r="AL27" s="19"/>
      <c r="AM27" s="19"/>
      <c r="AN27" s="19"/>
    </row>
    <row r="28" spans="3:43" ht="15.75" thickTop="1" x14ac:dyDescent="0.25">
      <c r="C28" s="297" cm="1">
        <f t="array" ref="C28">IFERROR(YEAR(_xll.BDP(B28,"DS035")), 0)</f>
        <v>0</v>
      </c>
      <c r="D28" s="295" cm="1">
        <f t="array" ref="D28">IFERROR(_xll.BDP(B28,"DS033")/100, 0)</f>
        <v>0</v>
      </c>
      <c r="E28" s="295" t="str" cm="1">
        <f t="array" ref="E28">IFERROR(_xll.BDP(B28,"DS004"), 0)</f>
        <v>#N/A Mandatory parameter [SECURITY] cannot be empty</v>
      </c>
      <c r="F28" s="296" cm="1">
        <f t="array" ref="F28">IFERROR(_xll.BDP(B28,"DS021")/1000000, 0)</f>
        <v>0</v>
      </c>
      <c r="G28" s="296" cm="1">
        <f t="array" ref="G28">IFERROR(_xll.BDP(B28,"DS218")/1000000, 0)</f>
        <v>0</v>
      </c>
      <c r="H28" s="296" cm="1">
        <f t="array" ref="H28">IFERROR(IF(E28=Hub!$D$8,F28, F28*((_xll.BDP(E28 &amp; Hub!$D$8 &amp; " Curncy", "PR005")/_xll.BDP(E28 &amp; Hub!$D$8 &amp; " Curncy", "DS672")))),0)</f>
        <v>0</v>
      </c>
      <c r="I28" s="71"/>
      <c r="J28" s="279">
        <f>IFERROR(IF(C28=0,0,-PV(DCF!$D$12, C28-YEAR(DCF!$D$10), H28*D28, H28, 0)),"")</f>
        <v>0</v>
      </c>
      <c r="T28" s="279"/>
      <c r="U28" s="279"/>
      <c r="V28" s="271"/>
      <c r="AC28" s="117" t="str">
        <f>IF(AND(X24="Bond Market Value Calculator Disabled", X22="Bank Loan Calculator Disabled"), "Backup Schedule Enabled", "Backup Schedule Disabled")</f>
        <v>Backup Schedule Enabled</v>
      </c>
    </row>
    <row r="29" spans="3:43" x14ac:dyDescent="0.25">
      <c r="C29" s="297" cm="1">
        <f t="array" ref="C29">IFERROR(YEAR(_xll.BDP(B29,"DS035")), 0)</f>
        <v>0</v>
      </c>
      <c r="D29" s="295" cm="1">
        <f t="array" ref="D29">IFERROR(_xll.BDP(B29,"DS033")/100, 0)</f>
        <v>0</v>
      </c>
      <c r="E29" s="295" t="str" cm="1">
        <f t="array" ref="E29">IFERROR(_xll.BDP(B29,"DS004"), 0)</f>
        <v>#N/A Mandatory parameter [SECURITY] cannot be empty</v>
      </c>
      <c r="F29" s="296" cm="1">
        <f t="array" ref="F29">IFERROR(_xll.BDP(B29,"DS021")/1000000, 0)</f>
        <v>0</v>
      </c>
      <c r="G29" s="296" cm="1">
        <f t="array" ref="G29">IFERROR(_xll.BDP(B29,"DS218")/1000000, 0)</f>
        <v>0</v>
      </c>
      <c r="H29" s="296" cm="1">
        <f t="array" ref="H29">IFERROR(IF(E29=Hub!$D$8,F29, F29*((_xll.BDP(E29 &amp; Hub!$D$8 &amp; " Curncy", "PR005")/_xll.BDP(E29 &amp; Hub!$D$8 &amp; " Curncy", "DS672")))),0)</f>
        <v>0</v>
      </c>
      <c r="I29" s="71"/>
      <c r="J29" s="279">
        <f>IFERROR(IF(C29=0,0,-PV(DCF!$D$12, C29-YEAR(DCF!$D$10), H29*D29, H29, 0)),"")</f>
        <v>0</v>
      </c>
      <c r="T29" s="279"/>
      <c r="U29" s="279"/>
      <c r="V29" s="272"/>
      <c r="W29" s="272"/>
    </row>
    <row r="30" spans="3:43" x14ac:dyDescent="0.25">
      <c r="C30" s="297" cm="1">
        <f t="array" ref="C30">IFERROR(YEAR(_xll.BDP(B30,"DS035")), 0)</f>
        <v>0</v>
      </c>
      <c r="D30" s="295" cm="1">
        <f t="array" ref="D30">IFERROR(_xll.BDP(B30,"DS033")/100, 0)</f>
        <v>0</v>
      </c>
      <c r="E30" s="295" t="str" cm="1">
        <f t="array" ref="E30">IFERROR(_xll.BDP(B30,"DS004"), 0)</f>
        <v>#N/A Mandatory parameter [SECURITY] cannot be empty</v>
      </c>
      <c r="F30" s="296" cm="1">
        <f t="array" ref="F30">IFERROR(_xll.BDP(B30,"DS021")/1000000, 0)</f>
        <v>0</v>
      </c>
      <c r="G30" s="296" cm="1">
        <f t="array" ref="G30">IFERROR(_xll.BDP(B30,"DS218")/1000000, 0)</f>
        <v>0</v>
      </c>
      <c r="H30" s="296" cm="1">
        <f t="array" ref="H30">IFERROR(IF(E30=Hub!$D$8,F30, F30*((_xll.BDP(E30 &amp; Hub!$D$8 &amp; " Curncy", "PR005")/_xll.BDP(E30 &amp; Hub!$D$8 &amp; " Curncy", "DS672")))),0)</f>
        <v>0</v>
      </c>
      <c r="I30" s="71"/>
      <c r="J30" s="279">
        <f>IFERROR(IF(C30=0,0,-PV(DCF!$D$12, C30-YEAR(DCF!$D$10), H30*D30, H30, 0)),"")</f>
        <v>0</v>
      </c>
      <c r="T30" s="279"/>
      <c r="U30" s="279"/>
      <c r="V30" s="272"/>
      <c r="W30" s="272"/>
      <c r="Y30" s="5"/>
      <c r="Z30" s="5"/>
      <c r="AA30" s="1"/>
      <c r="AB30" s="2" t="s">
        <v>80</v>
      </c>
      <c r="AC30" s="1"/>
      <c r="AD30" s="1"/>
      <c r="AE30" s="4"/>
      <c r="AF30" s="3"/>
      <c r="AG30" s="3" t="s">
        <v>81</v>
      </c>
      <c r="AH30" s="3"/>
      <c r="AI30" s="3"/>
      <c r="AJ30" s="3"/>
      <c r="AK30" s="3"/>
      <c r="AL30" s="3"/>
      <c r="AM30" s="3"/>
      <c r="AN30" s="3"/>
    </row>
    <row r="31" spans="3:43" x14ac:dyDescent="0.25">
      <c r="C31" s="297" cm="1">
        <f t="array" ref="C31">IFERROR(YEAR(_xll.BDP(B31,"DS035")), 0)</f>
        <v>0</v>
      </c>
      <c r="D31" s="295" cm="1">
        <f t="array" ref="D31">IFERROR(_xll.BDP(B31,"DS033")/100, 0)</f>
        <v>0</v>
      </c>
      <c r="E31" s="295" t="str" cm="1">
        <f t="array" ref="E31">IFERROR(_xll.BDP(B31,"DS004"), 0)</f>
        <v>#N/A Mandatory parameter [SECURITY] cannot be empty</v>
      </c>
      <c r="F31" s="296" cm="1">
        <f t="array" ref="F31">IFERROR(_xll.BDP(B31,"DS021")/1000000, 0)</f>
        <v>0</v>
      </c>
      <c r="G31" s="296" cm="1">
        <f t="array" ref="G31">IFERROR(_xll.BDP(B31,"DS218")/1000000, 0)</f>
        <v>0</v>
      </c>
      <c r="H31" s="296" cm="1">
        <f t="array" ref="H31">IFERROR(IF(E31=Hub!$D$8,F31, F31*((_xll.BDP(E31 &amp; Hub!$D$8 &amp; " Curncy", "PR005")/_xll.BDP(E31 &amp; Hub!$D$8 &amp; " Curncy", "DS672")))),0)</f>
        <v>0</v>
      </c>
      <c r="I31" s="71"/>
      <c r="J31" s="279">
        <f>IFERROR(IF(C31=0,0,-PV(DCF!$D$12, C31-YEAR(DCF!$D$10), H31*D31, H31, 0)),"")</f>
        <v>0</v>
      </c>
      <c r="T31" s="279"/>
      <c r="U31" s="279"/>
      <c r="V31" s="272"/>
      <c r="W31" s="272"/>
      <c r="Y31" s="7">
        <f ca="1">YEAR(Y32)</f>
        <v>2018</v>
      </c>
      <c r="Z31" s="7">
        <f ca="1">YEAR(Z32)</f>
        <v>2019</v>
      </c>
      <c r="AA31" s="7">
        <f t="shared" ref="AA31:AD31" ca="1" si="30">YEAR(AA32)</f>
        <v>2020</v>
      </c>
      <c r="AB31" s="7">
        <f t="shared" ca="1" si="30"/>
        <v>2021</v>
      </c>
      <c r="AC31" s="7">
        <f t="shared" ca="1" si="30"/>
        <v>2022</v>
      </c>
      <c r="AD31" s="7">
        <f t="shared" ca="1" si="30"/>
        <v>2023</v>
      </c>
      <c r="AE31" s="8">
        <f ca="1">YEAR(AE32)</f>
        <v>2024</v>
      </c>
      <c r="AF31" s="8">
        <f t="shared" ref="AF31:AN31" ca="1" si="31">YEAR(AF32)</f>
        <v>2025</v>
      </c>
      <c r="AG31" s="8">
        <f t="shared" ca="1" si="31"/>
        <v>2026</v>
      </c>
      <c r="AH31" s="8">
        <f t="shared" ca="1" si="31"/>
        <v>2027</v>
      </c>
      <c r="AI31" s="8">
        <f t="shared" ca="1" si="31"/>
        <v>2028</v>
      </c>
      <c r="AJ31" s="8">
        <f t="shared" ca="1" si="31"/>
        <v>2029</v>
      </c>
      <c r="AK31" s="8">
        <f t="shared" ca="1" si="31"/>
        <v>2030</v>
      </c>
      <c r="AL31" s="8">
        <f t="shared" ca="1" si="31"/>
        <v>2031</v>
      </c>
      <c r="AM31" s="8">
        <f t="shared" ca="1" si="31"/>
        <v>2032</v>
      </c>
      <c r="AN31" s="8">
        <f t="shared" ca="1" si="31"/>
        <v>2033</v>
      </c>
    </row>
    <row r="32" spans="3:43" x14ac:dyDescent="0.25">
      <c r="C32" s="297" cm="1">
        <f t="array" ref="C32">IFERROR(YEAR(_xll.BDP(B32,"DS035")), 0)</f>
        <v>0</v>
      </c>
      <c r="D32" s="295" cm="1">
        <f t="array" ref="D32">IFERROR(_xll.BDP(B32,"DS033")/100, 0)</f>
        <v>0</v>
      </c>
      <c r="E32" s="295" t="str" cm="1">
        <f t="array" ref="E32">IFERROR(_xll.BDP(B32,"DS004"), 0)</f>
        <v>#N/A Mandatory parameter [SECURITY] cannot be empty</v>
      </c>
      <c r="F32" s="296" cm="1">
        <f t="array" ref="F32">IFERROR(_xll.BDP(B32,"DS021")/1000000, 0)</f>
        <v>0</v>
      </c>
      <c r="G32" s="296" cm="1">
        <f t="array" ref="G32">IFERROR(_xll.BDP(B32,"DS218")/1000000, 0)</f>
        <v>0</v>
      </c>
      <c r="H32" s="296" cm="1">
        <f t="array" ref="H32">IFERROR(IF(E32=Hub!$D$8,F32, F32*((_xll.BDP(E32 &amp; Hub!$D$8 &amp; " Curncy", "PR005")/_xll.BDP(E32 &amp; Hub!$D$8 &amp; " Curncy", "DS672")))),0)</f>
        <v>0</v>
      </c>
      <c r="I32" s="71"/>
      <c r="J32" s="279">
        <f>IFERROR(IF(C32=0,0,-PV(DCF!$D$12, C32-YEAR(DCF!$D$10), H32*D32, H32, 0)),"")</f>
        <v>0</v>
      </c>
      <c r="T32" s="279"/>
      <c r="U32" s="279"/>
      <c r="V32" s="272"/>
      <c r="W32" s="272"/>
      <c r="Y32" s="9">
        <f t="shared" ref="Y32:AB32" ca="1" si="32">EOMONTH(Z32,-12)</f>
        <v>43465</v>
      </c>
      <c r="Z32" s="9">
        <f t="shared" ca="1" si="32"/>
        <v>43830</v>
      </c>
      <c r="AA32" s="9">
        <f t="shared" ca="1" si="32"/>
        <v>44196</v>
      </c>
      <c r="AB32" s="9">
        <f t="shared" ca="1" si="32"/>
        <v>44561</v>
      </c>
      <c r="AC32" s="9">
        <f ca="1">EOMONTH(AD32,-12)</f>
        <v>44926</v>
      </c>
      <c r="AD32" s="9">
        <f ca="1">DCF!I16</f>
        <v>45291</v>
      </c>
      <c r="AE32" s="9">
        <f ca="1">EOMONTH(AD32,12)</f>
        <v>45657</v>
      </c>
      <c r="AF32" s="9">
        <f t="shared" ref="AF32:AI32" ca="1" si="33">EOMONTH(AE32,12)</f>
        <v>46022</v>
      </c>
      <c r="AG32" s="9">
        <f t="shared" ca="1" si="33"/>
        <v>46387</v>
      </c>
      <c r="AH32" s="9">
        <f t="shared" ca="1" si="33"/>
        <v>46752</v>
      </c>
      <c r="AI32" s="9">
        <f t="shared" ca="1" si="33"/>
        <v>47118</v>
      </c>
      <c r="AJ32" s="9">
        <f t="shared" ref="AJ32" ca="1" si="34">EOMONTH(AI32,12)</f>
        <v>47483</v>
      </c>
      <c r="AK32" s="9">
        <f t="shared" ref="AK32" ca="1" si="35">EOMONTH(AJ32,12)</f>
        <v>47848</v>
      </c>
      <c r="AL32" s="9">
        <f t="shared" ref="AL32" ca="1" si="36">EOMONTH(AK32,12)</f>
        <v>48213</v>
      </c>
      <c r="AM32" s="9">
        <f t="shared" ref="AM32" ca="1" si="37">EOMONTH(AL32,12)</f>
        <v>48579</v>
      </c>
      <c r="AN32" s="9">
        <f t="shared" ref="AN32" ca="1" si="38">EOMONTH(AM32,12)</f>
        <v>48944</v>
      </c>
    </row>
    <row r="33" spans="3:40" x14ac:dyDescent="0.25">
      <c r="C33" s="297" cm="1">
        <f t="array" ref="C33">IFERROR(YEAR(_xll.BDP(B33,"DS035")), 0)</f>
        <v>0</v>
      </c>
      <c r="D33" s="295" cm="1">
        <f t="array" ref="D33">IFERROR(_xll.BDP(B33,"DS033")/100, 0)</f>
        <v>0</v>
      </c>
      <c r="E33" s="295" t="str" cm="1">
        <f t="array" ref="E33">IFERROR(_xll.BDP(B33,"DS004"), 0)</f>
        <v>#N/A Mandatory parameter [SECURITY] cannot be empty</v>
      </c>
      <c r="F33" s="296" cm="1">
        <f t="array" ref="F33">IFERROR(_xll.BDP(B33,"DS021")/1000000, 0)</f>
        <v>0</v>
      </c>
      <c r="G33" s="296" cm="1">
        <f t="array" ref="G33">IFERROR(_xll.BDP(B33,"DS218")/1000000, 0)</f>
        <v>0</v>
      </c>
      <c r="H33" s="296" cm="1">
        <f t="array" ref="H33">IFERROR(IF(E33=Hub!$D$8,F33, F33*((_xll.BDP(E33 &amp; Hub!$D$8 &amp; " Curncy", "PR005")/_xll.BDP(E33 &amp; Hub!$D$8 &amp; " Curncy", "DS672")))),0)</f>
        <v>0</v>
      </c>
      <c r="I33" s="71"/>
      <c r="J33" s="279">
        <f>IFERROR(IF(C33=0,0,-PV(DCF!$D$12, C33-YEAR(DCF!$D$10), H33*D33, H33, 0)),"")</f>
        <v>0</v>
      </c>
      <c r="T33" s="279"/>
      <c r="U33" s="279"/>
      <c r="V33" s="272"/>
      <c r="W33" s="272"/>
      <c r="X33" s="10" t="s">
        <v>239</v>
      </c>
      <c r="Y33" s="10"/>
    </row>
    <row r="34" spans="3:40" x14ac:dyDescent="0.25">
      <c r="C34" s="297" cm="1">
        <f t="array" ref="C34">IFERROR(YEAR(_xll.BDP(B34,"DS035")), 0)</f>
        <v>0</v>
      </c>
      <c r="D34" s="295" cm="1">
        <f t="array" ref="D34">IFERROR(_xll.BDP(B34,"DS033")/100, 0)</f>
        <v>0</v>
      </c>
      <c r="E34" s="295" t="str" cm="1">
        <f t="array" ref="E34">IFERROR(_xll.BDP(B34,"DS004"), 0)</f>
        <v>#N/A Mandatory parameter [SECURITY] cannot be empty</v>
      </c>
      <c r="F34" s="296" cm="1">
        <f t="array" ref="F34">IFERROR(_xll.BDP(B34,"DS021")/1000000, 0)</f>
        <v>0</v>
      </c>
      <c r="G34" s="296" cm="1">
        <f t="array" ref="G34">IFERROR(_xll.BDP(B34,"DS218")/1000000, 0)</f>
        <v>0</v>
      </c>
      <c r="H34" s="296" cm="1">
        <f t="array" ref="H34">IFERROR(IF(E34=Hub!$D$8,F34, F34*((_xll.BDP(E34 &amp; Hub!$D$8 &amp; " Curncy", "PR005")/_xll.BDP(E34 &amp; Hub!$D$8 &amp; " Curncy", "DS672")))),0)</f>
        <v>0</v>
      </c>
      <c r="I34" s="71"/>
      <c r="J34" s="279">
        <f>IFERROR(IF(C34=0,0,-PV(DCF!$D$12, C34-YEAR(DCF!$D$10), H34*D34, H34, 0)),"")</f>
        <v>0</v>
      </c>
      <c r="T34" s="279"/>
      <c r="U34" s="279"/>
      <c r="V34" s="272"/>
      <c r="W34" s="272"/>
      <c r="Z34" s="71"/>
      <c r="AA34" s="71"/>
      <c r="AB34" s="71"/>
      <c r="AC34" s="71"/>
      <c r="AD34" s="71"/>
    </row>
    <row r="35" spans="3:40" x14ac:dyDescent="0.25">
      <c r="C35" s="297" cm="1">
        <f t="array" ref="C35">IFERROR(YEAR(_xll.BDP(B35,"DS035")), 0)</f>
        <v>0</v>
      </c>
      <c r="D35" s="295" cm="1">
        <f t="array" ref="D35">IFERROR(_xll.BDP(B35,"DS033")/100, 0)</f>
        <v>0</v>
      </c>
      <c r="E35" s="295" t="str" cm="1">
        <f t="array" ref="E35">IFERROR(_xll.BDP(B35,"DS004"), 0)</f>
        <v>#N/A Mandatory parameter [SECURITY] cannot be empty</v>
      </c>
      <c r="F35" s="296" cm="1">
        <f t="array" ref="F35">IFERROR(_xll.BDP(B35,"DS021")/1000000, 0)</f>
        <v>0</v>
      </c>
      <c r="G35" s="296" cm="1">
        <f t="array" ref="G35">IFERROR(_xll.BDP(B35,"DS218")/1000000, 0)</f>
        <v>0</v>
      </c>
      <c r="H35" s="296" cm="1">
        <f t="array" ref="H35">IFERROR(IF(E35=Hub!$D$8,F35, F35*((_xll.BDP(E35 &amp; Hub!$D$8 &amp; " Curncy", "PR005")/_xll.BDP(E35 &amp; Hub!$D$8 &amp; " Curncy", "DS672")))),0)</f>
        <v>0</v>
      </c>
      <c r="I35" s="71"/>
      <c r="J35" s="279">
        <f>IFERROR(IF(C35=0,0,-PV(DCF!$D$12, C35-YEAR(DCF!$D$10), H35*D35, H35, 0)),"")</f>
        <v>0</v>
      </c>
      <c r="T35" s="279"/>
      <c r="U35" s="279"/>
      <c r="V35" s="272"/>
      <c r="W35" s="272"/>
      <c r="X35" t="s">
        <v>228</v>
      </c>
      <c r="Y35" s="110"/>
      <c r="Z35" s="234">
        <f>Operating_Model!E136</f>
        <v>286.24799999999999</v>
      </c>
      <c r="AA35" s="234">
        <f>Operating_Model!F136</f>
        <v>1202</v>
      </c>
      <c r="AB35" s="234">
        <f>Operating_Model!G136</f>
        <v>2295</v>
      </c>
      <c r="AC35" s="234">
        <f>Operating_Model!H136</f>
        <v>2265</v>
      </c>
      <c r="AD35" s="234">
        <f>Operating_Model!I136</f>
        <v>2354</v>
      </c>
      <c r="AE35" s="234">
        <f>AD41*AE43</f>
        <v>3468.4414878171206</v>
      </c>
      <c r="AF35" s="234">
        <f t="shared" ref="AF35:AI35" si="39">AE41*AF43</f>
        <v>4151.3140648728231</v>
      </c>
      <c r="AG35" s="234">
        <f t="shared" si="39"/>
        <v>4834.1866419285252</v>
      </c>
      <c r="AH35" s="234">
        <f t="shared" si="39"/>
        <v>5517.0592189842282</v>
      </c>
      <c r="AI35" s="234">
        <f t="shared" si="39"/>
        <v>6199.9317960399312</v>
      </c>
      <c r="AJ35" s="234">
        <f t="shared" ref="AJ35" si="40">AI41*AJ43</f>
        <v>6882.8043730956351</v>
      </c>
      <c r="AK35" s="234">
        <f t="shared" ref="AK35" si="41">AJ41*AK43</f>
        <v>7565.6769501513381</v>
      </c>
      <c r="AL35" s="234">
        <f t="shared" ref="AL35" si="42">AK41*AL43</f>
        <v>8248.549527207042</v>
      </c>
      <c r="AM35" s="234">
        <f t="shared" ref="AM35" si="43">AL41*AM43</f>
        <v>8931.4221042627451</v>
      </c>
      <c r="AN35" s="234">
        <f t="shared" ref="AN35" si="44">AM41*AN43</f>
        <v>9614.2946813184462</v>
      </c>
    </row>
    <row r="36" spans="3:40" x14ac:dyDescent="0.25">
      <c r="C36" s="297" cm="1">
        <f t="array" ref="C36">IFERROR(YEAR(_xll.BDP(B36,"DS035")), 0)</f>
        <v>0</v>
      </c>
      <c r="D36" s="295" cm="1">
        <f t="array" ref="D36">IFERROR(_xll.BDP(B36,"DS033")/100, 0)</f>
        <v>0</v>
      </c>
      <c r="E36" s="295" t="str" cm="1">
        <f t="array" ref="E36">IFERROR(_xll.BDP(B36,"DS004"), 0)</f>
        <v>#N/A Mandatory parameter [SECURITY] cannot be empty</v>
      </c>
      <c r="F36" s="296" cm="1">
        <f t="array" ref="F36">IFERROR(_xll.BDP(B36,"DS021")/1000000, 0)</f>
        <v>0</v>
      </c>
      <c r="G36" s="296" cm="1">
        <f t="array" ref="G36">IFERROR(_xll.BDP(B36,"DS218")/1000000, 0)</f>
        <v>0</v>
      </c>
      <c r="H36" s="296" cm="1">
        <f t="array" ref="H36">IFERROR(IF(E36=Hub!$D$8,F36, F36*((_xll.BDP(E36 &amp; Hub!$D$8 &amp; " Curncy", "PR005")/_xll.BDP(E36 &amp; Hub!$D$8 &amp; " Curncy", "DS672")))),0)</f>
        <v>0</v>
      </c>
      <c r="I36" s="71"/>
      <c r="J36" s="279">
        <f>IFERROR(IF(C36=0,0,-PV(DCF!$D$12, C36-YEAR(DCF!$D$10), H36*D36, H36, 0)),"")</f>
        <v>0</v>
      </c>
      <c r="T36" s="279"/>
      <c r="U36" s="279"/>
      <c r="V36" s="272"/>
      <c r="W36" s="272"/>
    </row>
    <row r="37" spans="3:40" ht="15" customHeight="1" x14ac:dyDescent="0.25">
      <c r="C37" s="297" cm="1">
        <f t="array" ref="C37">IFERROR(YEAR(_xll.BDP(B37,"DS035")), 0)</f>
        <v>0</v>
      </c>
      <c r="D37" s="295" cm="1">
        <f t="array" ref="D37">IFERROR(_xll.BDP(B37,"DS033")/100, 0)</f>
        <v>0</v>
      </c>
      <c r="E37" s="295" t="str" cm="1">
        <f t="array" ref="E37">IFERROR(_xll.BDP(B37,"DS004"), 0)</f>
        <v>#N/A Mandatory parameter [SECURITY] cannot be empty</v>
      </c>
      <c r="F37" s="296" cm="1">
        <f t="array" ref="F37">IFERROR(_xll.BDP(B37,"DS021")/1000000, 0)</f>
        <v>0</v>
      </c>
      <c r="G37" s="296" cm="1">
        <f t="array" ref="G37">IFERROR(_xll.BDP(B37,"DS218")/1000000, 0)</f>
        <v>0</v>
      </c>
      <c r="H37" s="296" cm="1">
        <f t="array" ref="H37">IFERROR(IF(E37=Hub!$D$8,F37, F37*((_xll.BDP(E37 &amp; Hub!$D$8 &amp; " Curncy", "PR005")/_xll.BDP(E37 &amp; Hub!$D$8 &amp; " Curncy", "DS672")))),0)</f>
        <v>0</v>
      </c>
      <c r="I37" s="71"/>
      <c r="J37" s="279">
        <f>IFERROR(IF(C37=0,0,-PV(DCF!$D$12, C37-YEAR(DCF!$D$10), H37*D37, H37, 0)),"")</f>
        <v>0</v>
      </c>
      <c r="T37" s="279"/>
      <c r="U37" s="279"/>
      <c r="V37" s="272"/>
      <c r="W37" s="272"/>
      <c r="X37" t="s">
        <v>230</v>
      </c>
      <c r="Y37" s="110"/>
      <c r="Z37" s="241">
        <f>IFERROR(IF(Z10="#N/A N/A", IF(Z$14-Y$14&lt;0, -(Z$14-Y$14),0), Z10),IF(Z$14-Y$14&lt;0, -(Z$14-Y$14),0))</f>
        <v>749.11600000000044</v>
      </c>
      <c r="AA37" s="241">
        <f>IFERROR(IF(AA10="#N/A N/A", IF(AA$14-Z$14&lt;0, -(AA$14-Z$14),0), AA10),IF(AA$14-Z$14&lt;0, -(AA$14-Z$14),0))</f>
        <v>0</v>
      </c>
      <c r="AB37" s="241">
        <f t="shared" ref="AB37:AD37" si="45">IFERROR(IF(AB10="#N/A N/A", IF(AB$14-AA$14&lt;0, -(AB$14-AA$14),0), AB10),IF(AB$14-AA$14&lt;0, -(AB$14-AA$14),0))</f>
        <v>0</v>
      </c>
      <c r="AC37" s="241">
        <f t="shared" si="45"/>
        <v>893</v>
      </c>
      <c r="AD37" s="241">
        <f t="shared" si="45"/>
        <v>268</v>
      </c>
      <c r="AE37" s="234">
        <f>AVERAGE(Z37:AD37)</f>
        <v>382.02320000000009</v>
      </c>
      <c r="AF37" s="234">
        <f>AE37</f>
        <v>382.02320000000009</v>
      </c>
      <c r="AG37" s="234">
        <f t="shared" ref="AG37:AI37" si="46">AF37</f>
        <v>382.02320000000009</v>
      </c>
      <c r="AH37" s="234">
        <f t="shared" si="46"/>
        <v>382.02320000000009</v>
      </c>
      <c r="AI37" s="234">
        <f t="shared" si="46"/>
        <v>382.02320000000009</v>
      </c>
      <c r="AJ37" s="234">
        <f t="shared" ref="AJ37" si="47">AI37</f>
        <v>382.02320000000009</v>
      </c>
      <c r="AK37" s="234">
        <f t="shared" ref="AK37" si="48">AJ37</f>
        <v>382.02320000000009</v>
      </c>
      <c r="AL37" s="234">
        <f t="shared" ref="AL37" si="49">AK37</f>
        <v>382.02320000000009</v>
      </c>
      <c r="AM37" s="234">
        <f t="shared" ref="AM37" si="50">AL37</f>
        <v>382.02320000000009</v>
      </c>
      <c r="AN37" s="234">
        <f t="shared" ref="AN37" si="51">AM37</f>
        <v>382.02320000000009</v>
      </c>
    </row>
    <row r="38" spans="3:40" x14ac:dyDescent="0.25">
      <c r="C38" s="297" cm="1">
        <f t="array" ref="C38">IFERROR(YEAR(_xll.BDP(B38,"DS035")), 0)</f>
        <v>0</v>
      </c>
      <c r="D38" s="295" cm="1">
        <f t="array" ref="D38">IFERROR(_xll.BDP(B38,"DS033")/100, 0)</f>
        <v>0</v>
      </c>
      <c r="E38" s="295" t="str" cm="1">
        <f t="array" ref="E38">IFERROR(_xll.BDP(B38,"DS004"), 0)</f>
        <v>#N/A Mandatory parameter [SECURITY] cannot be empty</v>
      </c>
      <c r="F38" s="296" cm="1">
        <f t="array" ref="F38">IFERROR(_xll.BDP(B38,"DS021")/1000000, 0)</f>
        <v>0</v>
      </c>
      <c r="G38" s="296" cm="1">
        <f t="array" ref="G38">IFERROR(_xll.BDP(B38,"DS218")/1000000, 0)</f>
        <v>0</v>
      </c>
      <c r="H38" s="296" cm="1">
        <f t="array" ref="H38">IFERROR(IF(E38=Hub!$D$8,F38, F38*((_xll.BDP(E38 &amp; Hub!$D$8 &amp; " Curncy", "PR005")/_xll.BDP(E38 &amp; Hub!$D$8 &amp; " Curncy", "DS672")))),0)</f>
        <v>0</v>
      </c>
      <c r="I38" s="71"/>
      <c r="J38" s="279">
        <f>IFERROR(IF(C38=0,0,-PV(DCF!$D$12, C38-YEAR(DCF!$D$10), H38*D38, H38, 0)),"")</f>
        <v>0</v>
      </c>
      <c r="T38" s="279"/>
      <c r="U38" s="279"/>
      <c r="V38" s="272"/>
      <c r="W38" s="272"/>
      <c r="Z38" s="241"/>
      <c r="AA38" s="71"/>
      <c r="AB38" s="71"/>
      <c r="AC38" s="71"/>
      <c r="AD38" s="71"/>
    </row>
    <row r="39" spans="3:40" x14ac:dyDescent="0.25">
      <c r="C39" s="297" cm="1">
        <f t="array" ref="C39">IFERROR(YEAR(_xll.BDP(B39,"DS035")), 0)</f>
        <v>0</v>
      </c>
      <c r="D39" s="295" cm="1">
        <f t="array" ref="D39">IFERROR(_xll.BDP(B39,"DS033")/100, 0)</f>
        <v>0</v>
      </c>
      <c r="E39" s="295" t="str" cm="1">
        <f t="array" ref="E39">IFERROR(_xll.BDP(B39,"DS004"), 0)</f>
        <v>#N/A Mandatory parameter [SECURITY] cannot be empty</v>
      </c>
      <c r="F39" s="296" cm="1">
        <f t="array" ref="F39">IFERROR(_xll.BDP(B39,"DS021")/1000000, 0)</f>
        <v>0</v>
      </c>
      <c r="G39" s="296" cm="1">
        <f t="array" ref="G39">IFERROR(_xll.BDP(B39,"DS218")/1000000, 0)</f>
        <v>0</v>
      </c>
      <c r="H39" s="296" cm="1">
        <f t="array" ref="H39">IFERROR(IF(E39=Hub!$D$8,F39, F39*((_xll.BDP(E39 &amp; Hub!$D$8 &amp; " Curncy", "PR005")/_xll.BDP(E39 &amp; Hub!$D$8 &amp; " Curncy", "DS672")))),0)</f>
        <v>0</v>
      </c>
      <c r="I39" s="71"/>
      <c r="J39" s="279">
        <f>IFERROR(IF(C39=0,0,-PV(DCF!$D$12, C39-YEAR(DCF!$D$10), H39*D39, H39, 0)),"")</f>
        <v>0</v>
      </c>
      <c r="T39" s="279"/>
      <c r="U39" s="279"/>
      <c r="V39" s="272"/>
      <c r="W39" s="272"/>
      <c r="X39" t="s">
        <v>231</v>
      </c>
      <c r="Y39" s="110"/>
      <c r="Z39" s="241">
        <f>IFERROR(IF(Z12="#N/A N/A", IF(Z$14-Y$14&gt;0, Z$14-Y$14,0), Z12),IF(Z$14-Y$14&gt;0, Z$14-Y$14,0))</f>
        <v>0</v>
      </c>
      <c r="AA39" s="241">
        <f t="shared" ref="AA39:AD39" si="52">IFERROR(IF(AA12="#N/A N/A", IF(AA$14-Z$14&gt;0, AA$14-Z$14,0), AA12),IF(AA$14-Z$14&gt;0, AA$14-Z$14,0))</f>
        <v>23341.008000000002</v>
      </c>
      <c r="AB39" s="241">
        <f t="shared" si="52"/>
        <v>59</v>
      </c>
      <c r="AC39" s="241">
        <f t="shared" si="52"/>
        <v>0</v>
      </c>
      <c r="AD39" s="241">
        <f t="shared" si="52"/>
        <v>0</v>
      </c>
      <c r="AE39" s="234">
        <f>AVERAGE(Z39:AD39)</f>
        <v>4680.0016000000005</v>
      </c>
      <c r="AF39" s="234">
        <f>AE39</f>
        <v>4680.0016000000005</v>
      </c>
      <c r="AG39" s="234">
        <f t="shared" ref="AG39:AI39" si="53">AF39</f>
        <v>4680.0016000000005</v>
      </c>
      <c r="AH39" s="234">
        <f t="shared" si="53"/>
        <v>4680.0016000000005</v>
      </c>
      <c r="AI39" s="234">
        <f t="shared" si="53"/>
        <v>4680.0016000000005</v>
      </c>
      <c r="AJ39" s="234">
        <f t="shared" ref="AJ39" si="54">AI39</f>
        <v>4680.0016000000005</v>
      </c>
      <c r="AK39" s="234">
        <f t="shared" ref="AK39" si="55">AJ39</f>
        <v>4680.0016000000005</v>
      </c>
      <c r="AL39" s="234">
        <f t="shared" ref="AL39" si="56">AK39</f>
        <v>4680.0016000000005</v>
      </c>
      <c r="AM39" s="234">
        <f t="shared" ref="AM39" si="57">AL39</f>
        <v>4680.0016000000005</v>
      </c>
      <c r="AN39" s="234">
        <f t="shared" ref="AN39" si="58">AM39</f>
        <v>4680.0016000000005</v>
      </c>
    </row>
    <row r="40" spans="3:40" x14ac:dyDescent="0.25">
      <c r="C40" s="297" cm="1">
        <f t="array" ref="C40">IFERROR(YEAR(_xll.BDP(B40,"DS035")), 0)</f>
        <v>0</v>
      </c>
      <c r="D40" s="295" cm="1">
        <f t="array" ref="D40">IFERROR(_xll.BDP(B40,"DS033")/100, 0)</f>
        <v>0</v>
      </c>
      <c r="E40" s="295" t="str" cm="1">
        <f t="array" ref="E40">IFERROR(_xll.BDP(B40,"DS004"), 0)</f>
        <v>#N/A Mandatory parameter [SECURITY] cannot be empty</v>
      </c>
      <c r="F40" s="296" cm="1">
        <f t="array" ref="F40">IFERROR(_xll.BDP(B40,"DS021")/1000000, 0)</f>
        <v>0</v>
      </c>
      <c r="G40" s="296" cm="1">
        <f t="array" ref="G40">IFERROR(_xll.BDP(B40,"DS218")/1000000, 0)</f>
        <v>0</v>
      </c>
      <c r="H40" s="296" cm="1">
        <f t="array" ref="H40">IFERROR(IF(E40=Hub!$D$8,F40, F40*((_xll.BDP(E40 &amp; Hub!$D$8 &amp; " Curncy", "PR005")/_xll.BDP(E40 &amp; Hub!$D$8 &amp; " Curncy", "DS672")))),0)</f>
        <v>0</v>
      </c>
      <c r="I40" s="71"/>
      <c r="J40" s="279">
        <f>IFERROR(IF(C40=0,0,-PV(DCF!$D$12, C40-YEAR(DCF!$D$10), H40*D40, H40, 0)),"")</f>
        <v>0</v>
      </c>
      <c r="T40" s="279"/>
      <c r="U40" s="279"/>
      <c r="V40" s="272"/>
      <c r="W40" s="272"/>
    </row>
    <row r="41" spans="3:40" x14ac:dyDescent="0.25">
      <c r="C41" s="297" cm="1">
        <f t="array" ref="C41">IFERROR(YEAR(_xll.BDP(B41,"DS035")), 0)</f>
        <v>0</v>
      </c>
      <c r="D41" s="295" cm="1">
        <f t="array" ref="D41">IFERROR(_xll.BDP(B41,"DS033")/100, 0)</f>
        <v>0</v>
      </c>
      <c r="E41" s="295" t="str" cm="1">
        <f t="array" ref="E41">IFERROR(_xll.BDP(B41,"DS004"), 0)</f>
        <v>#N/A Mandatory parameter [SECURITY] cannot be empty</v>
      </c>
      <c r="F41" s="296" cm="1">
        <f t="array" ref="F41">IFERROR(_xll.BDP(B41,"DS021")/1000000, 0)</f>
        <v>0</v>
      </c>
      <c r="G41" s="296" cm="1">
        <f t="array" ref="G41">IFERROR(_xll.BDP(B41,"DS218")/1000000, 0)</f>
        <v>0</v>
      </c>
      <c r="H41" s="296" cm="1">
        <f t="array" ref="H41">IFERROR(IF(E41=Hub!$D$8,F41, F41*((_xll.BDP(E41 &amp; Hub!$D$8 &amp; " Curncy", "PR005")/_xll.BDP(E41 &amp; Hub!$D$8 &amp; " Curncy", "DS672")))),0)</f>
        <v>0</v>
      </c>
      <c r="I41" s="71"/>
      <c r="J41" s="279">
        <f>IFERROR(IF(C41=0,0,-PV(DCF!$D$12, C41-YEAR(DCF!$D$10), H41*D41, H41, 0)),"")</f>
        <v>0</v>
      </c>
      <c r="T41" s="279"/>
      <c r="U41" s="279"/>
      <c r="V41" s="272"/>
      <c r="W41" s="272"/>
      <c r="X41" s="101" t="s">
        <v>233</v>
      </c>
      <c r="Y41" s="249">
        <f>Y14</f>
        <v>4221.1080000000002</v>
      </c>
      <c r="Z41" s="249">
        <f>Y41-Z37+Z39</f>
        <v>3471.9919999999997</v>
      </c>
      <c r="AA41" s="249">
        <f t="shared" ref="AA41:AD41" si="59">Z41-AA37+AA39</f>
        <v>26813</v>
      </c>
      <c r="AB41" s="249">
        <f t="shared" si="59"/>
        <v>26872</v>
      </c>
      <c r="AC41" s="249">
        <f t="shared" si="59"/>
        <v>25979</v>
      </c>
      <c r="AD41" s="249">
        <f t="shared" si="59"/>
        <v>25711</v>
      </c>
      <c r="AE41" s="249">
        <f t="shared" ref="AE41:AN41" si="60">AD41+AE37+AE39</f>
        <v>30773.024799999999</v>
      </c>
      <c r="AF41" s="249">
        <f t="shared" si="60"/>
        <v>35835.049599999998</v>
      </c>
      <c r="AG41" s="249">
        <f t="shared" si="60"/>
        <v>40897.074400000005</v>
      </c>
      <c r="AH41" s="249">
        <f t="shared" si="60"/>
        <v>45959.099200000011</v>
      </c>
      <c r="AI41" s="249">
        <f t="shared" si="60"/>
        <v>51021.124000000018</v>
      </c>
      <c r="AJ41" s="249">
        <f t="shared" si="60"/>
        <v>56083.148800000024</v>
      </c>
      <c r="AK41" s="249">
        <f t="shared" si="60"/>
        <v>61145.173600000031</v>
      </c>
      <c r="AL41" s="249">
        <f t="shared" si="60"/>
        <v>66207.198400000038</v>
      </c>
      <c r="AM41" s="249">
        <f t="shared" si="60"/>
        <v>71269.223200000037</v>
      </c>
      <c r="AN41" s="249">
        <f t="shared" si="60"/>
        <v>76331.248000000036</v>
      </c>
    </row>
    <row r="42" spans="3:40" x14ac:dyDescent="0.25">
      <c r="C42" s="297" cm="1">
        <f t="array" ref="C42">IFERROR(YEAR(_xll.BDP(B42,"DS035")), 0)</f>
        <v>0</v>
      </c>
      <c r="D42" s="295" cm="1">
        <f t="array" ref="D42">IFERROR(_xll.BDP(B42,"DS033")/100, 0)</f>
        <v>0</v>
      </c>
      <c r="E42" s="295" t="str" cm="1">
        <f t="array" ref="E42">IFERROR(_xll.BDP(B42,"DS004"), 0)</f>
        <v>#N/A Mandatory parameter [SECURITY] cannot be empty</v>
      </c>
      <c r="F42" s="296" cm="1">
        <f t="array" ref="F42">IFERROR(_xll.BDP(B42,"DS021")/1000000, 0)</f>
        <v>0</v>
      </c>
      <c r="G42" s="296" cm="1">
        <f t="array" ref="G42">IFERROR(_xll.BDP(B42,"DS218")/1000000, 0)</f>
        <v>0</v>
      </c>
      <c r="H42" s="296" cm="1">
        <f t="array" ref="H42">IFERROR(IF(E42=Hub!$D$8,F42, F42*((_xll.BDP(E42 &amp; Hub!$D$8 &amp; " Curncy", "PR005")/_xll.BDP(E42 &amp; Hub!$D$8 &amp; " Curncy", "DS672")))),0)</f>
        <v>0</v>
      </c>
      <c r="I42" s="71"/>
      <c r="J42" s="279">
        <f>IFERROR(IF(C42=0,0,-PV(DCF!$D$12, C42-YEAR(DCF!$D$10), H42*D42, H42, 0)),"")</f>
        <v>0</v>
      </c>
      <c r="T42" s="279"/>
      <c r="U42" s="279"/>
      <c r="V42" s="272"/>
      <c r="W42" s="272"/>
    </row>
    <row r="43" spans="3:40" x14ac:dyDescent="0.25">
      <c r="C43" s="297" cm="1">
        <f t="array" ref="C43">IFERROR(YEAR(_xll.BDP(B43,"DS035")), 0)</f>
        <v>0</v>
      </c>
      <c r="D43" s="295" cm="1">
        <f t="array" ref="D43">IFERROR(_xll.BDP(B43,"DS033")/100, 0)</f>
        <v>0</v>
      </c>
      <c r="E43" s="295" t="str" cm="1">
        <f t="array" ref="E43">IFERROR(_xll.BDP(B43,"DS004"), 0)</f>
        <v>#N/A Mandatory parameter [SECURITY] cannot be empty</v>
      </c>
      <c r="F43" s="296" cm="1">
        <f t="array" ref="F43">IFERROR(_xll.BDP(B43,"DS021")/1000000, 0)</f>
        <v>0</v>
      </c>
      <c r="G43" s="296" cm="1">
        <f t="array" ref="G43">IFERROR(_xll.BDP(B43,"DS218")/1000000, 0)</f>
        <v>0</v>
      </c>
      <c r="H43" s="296" cm="1">
        <f t="array" ref="H43">IFERROR(IF(E43=Hub!$D$8,F43, F43*((_xll.BDP(E43 &amp; Hub!$D$8 &amp; " Curncy", "PR005")/_xll.BDP(E43 &amp; Hub!$D$8 &amp; " Curncy", "DS672")))),0)</f>
        <v>0</v>
      </c>
      <c r="I43" s="71"/>
      <c r="J43" s="279">
        <f>IFERROR(IF(C43=0,0,-PV(DCF!$D$12, C43-YEAR(DCF!$D$10), H43*D43, H43, 0)),"")</f>
        <v>0</v>
      </c>
      <c r="T43" s="279"/>
      <c r="U43" s="279"/>
      <c r="V43" s="272"/>
      <c r="W43" s="272"/>
      <c r="X43" s="101" t="s">
        <v>224</v>
      </c>
      <c r="Y43" s="102" t="s">
        <v>85</v>
      </c>
      <c r="Z43" s="250">
        <f>IF(Y41=0,0,Z35/Y41)</f>
        <v>6.7813474566393458E-2</v>
      </c>
      <c r="AA43" s="250">
        <f t="shared" ref="AA43:AD43" si="61">AA35/Z41</f>
        <v>0.34619895437547094</v>
      </c>
      <c r="AB43" s="250">
        <f t="shared" si="61"/>
        <v>8.559280945809869E-2</v>
      </c>
      <c r="AC43" s="250">
        <f t="shared" si="61"/>
        <v>8.4288478713902951E-2</v>
      </c>
      <c r="AD43" s="250">
        <f t="shared" si="61"/>
        <v>9.0611647869433001E-2</v>
      </c>
      <c r="AE43" s="147">
        <f>AVERAGE(Z43:AD43)</f>
        <v>0.13490107299665982</v>
      </c>
      <c r="AF43" s="147">
        <f>AE43</f>
        <v>0.13490107299665982</v>
      </c>
      <c r="AG43" s="147">
        <f t="shared" ref="AG43:AI43" si="62">AF43</f>
        <v>0.13490107299665982</v>
      </c>
      <c r="AH43" s="147">
        <f t="shared" si="62"/>
        <v>0.13490107299665982</v>
      </c>
      <c r="AI43" s="147">
        <f t="shared" si="62"/>
        <v>0.13490107299665982</v>
      </c>
      <c r="AJ43" s="147">
        <f t="shared" ref="AJ43" si="63">AI43</f>
        <v>0.13490107299665982</v>
      </c>
      <c r="AK43" s="147">
        <f t="shared" ref="AK43" si="64">AJ43</f>
        <v>0.13490107299665982</v>
      </c>
      <c r="AL43" s="147">
        <f t="shared" ref="AL43" si="65">AK43</f>
        <v>0.13490107299665982</v>
      </c>
      <c r="AM43" s="147">
        <f t="shared" ref="AM43" si="66">AL43</f>
        <v>0.13490107299665982</v>
      </c>
      <c r="AN43" s="147">
        <f t="shared" ref="AN43" si="67">AM43</f>
        <v>0.13490107299665982</v>
      </c>
    </row>
    <row r="44" spans="3:40" x14ac:dyDescent="0.25">
      <c r="C44" s="297" cm="1">
        <f t="array" ref="C44">IFERROR(YEAR(_xll.BDP(B44,"DS035")), 0)</f>
        <v>0</v>
      </c>
      <c r="D44" s="295" cm="1">
        <f t="array" ref="D44">IFERROR(_xll.BDP(B44,"DS033")/100, 0)</f>
        <v>0</v>
      </c>
      <c r="E44" s="295" t="str" cm="1">
        <f t="array" ref="E44">IFERROR(_xll.BDP(B44,"DS004"), 0)</f>
        <v>#N/A Mandatory parameter [SECURITY] cannot be empty</v>
      </c>
      <c r="F44" s="296" cm="1">
        <f t="array" ref="F44">IFERROR(_xll.BDP(B44,"DS021")/1000000, 0)</f>
        <v>0</v>
      </c>
      <c r="G44" s="296" cm="1">
        <f t="array" ref="G44">IFERROR(_xll.BDP(B44,"DS218")/1000000, 0)</f>
        <v>0</v>
      </c>
      <c r="H44" s="296" cm="1">
        <f t="array" ref="H44">IFERROR(IF(E44=Hub!$D$8,F44, F44*((_xll.BDP(E44 &amp; Hub!$D$8 &amp; " Curncy", "PR005")/_xll.BDP(E44 &amp; Hub!$D$8 &amp; " Curncy", "DS672")))),0)</f>
        <v>0</v>
      </c>
      <c r="I44" s="71"/>
      <c r="J44" s="279">
        <f>IFERROR(IF(C44=0,0,-PV(DCF!$D$12, C44-YEAR(DCF!$D$10), H44*D44, H44, 0)),"")</f>
        <v>0</v>
      </c>
      <c r="T44" s="279"/>
      <c r="U44" s="279"/>
      <c r="V44" s="272"/>
      <c r="W44" s="272"/>
    </row>
    <row r="45" spans="3:40" x14ac:dyDescent="0.25">
      <c r="C45" s="297" cm="1">
        <f t="array" ref="C45">IFERROR(YEAR(_xll.BDP(B45,"DS035")), 0)</f>
        <v>0</v>
      </c>
      <c r="D45" s="295" cm="1">
        <f t="array" ref="D45">IFERROR(_xll.BDP(B45,"DS033")/100, 0)</f>
        <v>0</v>
      </c>
      <c r="E45" s="295" t="str" cm="1">
        <f t="array" ref="E45">IFERROR(_xll.BDP(B45,"DS004"), 0)</f>
        <v>#N/A Mandatory parameter [SECURITY] cannot be empty</v>
      </c>
      <c r="F45" s="296" cm="1">
        <f t="array" ref="F45">IFERROR(_xll.BDP(B45,"DS021")/1000000, 0)</f>
        <v>0</v>
      </c>
      <c r="G45" s="296" cm="1">
        <f t="array" ref="G45">IFERROR(_xll.BDP(B45,"DS218")/1000000, 0)</f>
        <v>0</v>
      </c>
      <c r="H45" s="296" cm="1">
        <f t="array" ref="H45">IFERROR(IF(E45=Hub!$D$8,F45, F45*((_xll.BDP(E45 &amp; Hub!$D$8 &amp; " Curncy", "PR005")/_xll.BDP(E45 &amp; Hub!$D$8 &amp; " Curncy", "DS672")))),0)</f>
        <v>0</v>
      </c>
      <c r="I45" s="71"/>
      <c r="J45" s="279">
        <f>IFERROR(IF(C45=0,0,-PV(DCF!$D$12, C45-YEAR(DCF!$D$10), H45*D45, H45, 0)),"")</f>
        <v>0</v>
      </c>
      <c r="T45" s="279"/>
      <c r="U45" s="279"/>
      <c r="V45" s="272"/>
      <c r="W45" s="272"/>
    </row>
    <row r="46" spans="3:40" x14ac:dyDescent="0.25">
      <c r="C46" s="297" cm="1">
        <f t="array" ref="C46">IFERROR(YEAR(_xll.BDP(B46,"DS035")), 0)</f>
        <v>0</v>
      </c>
      <c r="D46" s="295" cm="1">
        <f t="array" ref="D46">IFERROR(_xll.BDP(B46,"DS033")/100, 0)</f>
        <v>0</v>
      </c>
      <c r="E46" s="295" t="str" cm="1">
        <f t="array" ref="E46">IFERROR(_xll.BDP(B46,"DS004"), 0)</f>
        <v>#N/A Mandatory parameter [SECURITY] cannot be empty</v>
      </c>
      <c r="F46" s="296" cm="1">
        <f t="array" ref="F46">IFERROR(_xll.BDP(B46,"DS021")/1000000, 0)</f>
        <v>0</v>
      </c>
      <c r="G46" s="296" cm="1">
        <f t="array" ref="G46">IFERROR(_xll.BDP(B46,"DS218")/1000000, 0)</f>
        <v>0</v>
      </c>
      <c r="H46" s="296" cm="1">
        <f t="array" ref="H46">IFERROR(IF(E46=Hub!$D$8,F46, F46*((_xll.BDP(E46 &amp; Hub!$D$8 &amp; " Curncy", "PR005")/_xll.BDP(E46 &amp; Hub!$D$8 &amp; " Curncy", "DS672")))),0)</f>
        <v>0</v>
      </c>
      <c r="I46" s="71"/>
      <c r="J46" s="279">
        <f>IFERROR(IF(C46=0,0,-PV(DCF!$D$12, C46-YEAR(DCF!$D$10), H46*D46, H46, 0)),"")</f>
        <v>0</v>
      </c>
      <c r="T46" s="279"/>
      <c r="U46" s="279"/>
      <c r="V46" s="272"/>
      <c r="W46" s="272"/>
    </row>
    <row r="47" spans="3:40" x14ac:dyDescent="0.25">
      <c r="C47" s="297" cm="1">
        <f t="array" ref="C47">IFERROR(YEAR(_xll.BDP(B47,"DS035")), 0)</f>
        <v>0</v>
      </c>
      <c r="D47" s="295" cm="1">
        <f t="array" ref="D47">IFERROR(_xll.BDP(B47,"DS033")/100, 0)</f>
        <v>0</v>
      </c>
      <c r="E47" s="295" t="str" cm="1">
        <f t="array" ref="E47">IFERROR(_xll.BDP(B47,"DS004"), 0)</f>
        <v>#N/A Mandatory parameter [SECURITY] cannot be empty</v>
      </c>
      <c r="F47" s="296" cm="1">
        <f t="array" ref="F47">IFERROR(_xll.BDP(B47,"DS021")/1000000, 0)</f>
        <v>0</v>
      </c>
      <c r="G47" s="296" cm="1">
        <f t="array" ref="G47">IFERROR(_xll.BDP(B47,"DS218")/1000000, 0)</f>
        <v>0</v>
      </c>
      <c r="H47" s="296" cm="1">
        <f t="array" ref="H47">IFERROR(IF(E47=Hub!$D$8,F47, F47*((_xll.BDP(E47 &amp; Hub!$D$8 &amp; " Curncy", "PR005")/_xll.BDP(E47 &amp; Hub!$D$8 &amp; " Curncy", "DS672")))),0)</f>
        <v>0</v>
      </c>
      <c r="I47" s="71"/>
      <c r="J47" s="279">
        <f>IFERROR(IF(C47=0,0,-PV(DCF!$D$12, C47-YEAR(DCF!$D$10), H47*D47, H47, 0)),"")</f>
        <v>0</v>
      </c>
      <c r="T47" s="279"/>
      <c r="U47" s="279"/>
      <c r="V47" s="272"/>
      <c r="W47" s="272"/>
    </row>
    <row r="48" spans="3:40" ht="15" customHeight="1" x14ac:dyDescent="0.25">
      <c r="C48" s="297" cm="1">
        <f t="array" ref="C48">IFERROR(YEAR(_xll.BDP(B48,"DS035")), 0)</f>
        <v>0</v>
      </c>
      <c r="D48" s="295" cm="1">
        <f t="array" ref="D48">IFERROR(_xll.BDP(B48,"DS033")/100, 0)</f>
        <v>0</v>
      </c>
      <c r="E48" s="295" t="str" cm="1">
        <f t="array" ref="E48">IFERROR(_xll.BDP(B48,"DS004"), 0)</f>
        <v>#N/A Mandatory parameter [SECURITY] cannot be empty</v>
      </c>
      <c r="F48" s="296" cm="1">
        <f t="array" ref="F48">IFERROR(_xll.BDP(B48,"DS021")/1000000, 0)</f>
        <v>0</v>
      </c>
      <c r="G48" s="296" cm="1">
        <f t="array" ref="G48">IFERROR(_xll.BDP(B48,"DS218")/1000000, 0)</f>
        <v>0</v>
      </c>
      <c r="H48" s="296" cm="1">
        <f t="array" ref="H48">IFERROR(IF(E48=Hub!$D$8,F48, F48*((_xll.BDP(E48 &amp; Hub!$D$8 &amp; " Curncy", "PR005")/_xll.BDP(E48 &amp; Hub!$D$8 &amp; " Curncy", "DS672")))),0)</f>
        <v>0</v>
      </c>
      <c r="I48" s="71"/>
      <c r="J48" s="279">
        <f>IFERROR(IF(C48=0,0,-PV(DCF!$D$12, C48-YEAR(DCF!$D$10), H48*D48, H48, 0)),"")</f>
        <v>0</v>
      </c>
      <c r="T48" s="279"/>
      <c r="U48" s="279"/>
      <c r="V48" s="272"/>
      <c r="W48" s="272"/>
    </row>
    <row r="49" spans="3:28" x14ac:dyDescent="0.25">
      <c r="C49" s="297" cm="1">
        <f t="array" ref="C49">IFERROR(YEAR(_xll.BDP(B49,"DS035")), 0)</f>
        <v>0</v>
      </c>
      <c r="D49" s="295" cm="1">
        <f t="array" ref="D49">IFERROR(_xll.BDP(B49,"DS033")/100, 0)</f>
        <v>0</v>
      </c>
      <c r="E49" s="295" t="str" cm="1">
        <f t="array" ref="E49">IFERROR(_xll.BDP(B49,"DS004"), 0)</f>
        <v>#N/A Mandatory parameter [SECURITY] cannot be empty</v>
      </c>
      <c r="F49" s="296" cm="1">
        <f t="array" ref="F49">IFERROR(_xll.BDP(B49,"DS021")/1000000, 0)</f>
        <v>0</v>
      </c>
      <c r="G49" s="296" cm="1">
        <f t="array" ref="G49">IFERROR(_xll.BDP(B49,"DS218")/1000000, 0)</f>
        <v>0</v>
      </c>
      <c r="H49" s="296" cm="1">
        <f t="array" ref="H49">IFERROR(IF(E49=Hub!$D$8,F49, F49*((_xll.BDP(E49 &amp; Hub!$D$8 &amp; " Curncy", "PR005")/_xll.BDP(E49 &amp; Hub!$D$8 &amp; " Curncy", "DS672")))),0)</f>
        <v>0</v>
      </c>
      <c r="I49" s="71"/>
      <c r="J49" s="279">
        <f>IFERROR(IF(C49=0,0,-PV(DCF!$D$12, C49-YEAR(DCF!$D$10), H49*D49, H49, 0)),"")</f>
        <v>0</v>
      </c>
      <c r="T49" s="279"/>
      <c r="U49" s="279"/>
      <c r="V49" s="272"/>
      <c r="W49" s="272"/>
    </row>
    <row r="50" spans="3:28" x14ac:dyDescent="0.25">
      <c r="C50" s="297" cm="1">
        <f t="array" ref="C50">IFERROR(YEAR(_xll.BDP(B50,"DS035")), 0)</f>
        <v>0</v>
      </c>
      <c r="D50" s="295" cm="1">
        <f t="array" ref="D50">IFERROR(_xll.BDP(B50,"DS033")/100, 0)</f>
        <v>0</v>
      </c>
      <c r="E50" s="295" t="str" cm="1">
        <f t="array" ref="E50">IFERROR(_xll.BDP(B50,"DS004"), 0)</f>
        <v>#N/A Mandatory parameter [SECURITY] cannot be empty</v>
      </c>
      <c r="F50" s="296" cm="1">
        <f t="array" ref="F50">IFERROR(_xll.BDP(B50,"DS021")/1000000, 0)</f>
        <v>0</v>
      </c>
      <c r="G50" s="296" cm="1">
        <f t="array" ref="G50">IFERROR(_xll.BDP(B50,"DS218")/1000000, 0)</f>
        <v>0</v>
      </c>
      <c r="H50" s="296" cm="1">
        <f t="array" ref="H50">IFERROR(IF(E50=Hub!$D$8,F50, F50*((_xll.BDP(E50 &amp; Hub!$D$8 &amp; " Curncy", "PR005")/_xll.BDP(E50 &amp; Hub!$D$8 &amp; " Curncy", "DS672")))),0)</f>
        <v>0</v>
      </c>
      <c r="I50" s="71"/>
      <c r="J50" s="279">
        <f>IFERROR(IF(C50=0,0,-PV(DCF!$D$12, C50-YEAR(DCF!$D$10), H50*D50, H50, 0)),"")</f>
        <v>0</v>
      </c>
      <c r="T50" s="279"/>
      <c r="U50" s="279"/>
      <c r="V50" s="272"/>
      <c r="W50" s="272"/>
    </row>
    <row r="51" spans="3:28" x14ac:dyDescent="0.25">
      <c r="C51" s="297" cm="1">
        <f t="array" ref="C51">IFERROR(YEAR(_xll.BDP(B51,"DS035")), 0)</f>
        <v>0</v>
      </c>
      <c r="D51" s="295" cm="1">
        <f t="array" ref="D51">IFERROR(_xll.BDP(B51,"DS033")/100, 0)</f>
        <v>0</v>
      </c>
      <c r="E51" s="295" t="str" cm="1">
        <f t="array" ref="E51">IFERROR(_xll.BDP(B51,"DS004"), 0)</f>
        <v>#N/A Mandatory parameter [SECURITY] cannot be empty</v>
      </c>
      <c r="F51" s="296" cm="1">
        <f t="array" ref="F51">IFERROR(_xll.BDP(B51,"DS021")/1000000, 0)</f>
        <v>0</v>
      </c>
      <c r="G51" s="296" cm="1">
        <f t="array" ref="G51">IFERROR(_xll.BDP(B51,"DS218")/1000000, 0)</f>
        <v>0</v>
      </c>
      <c r="H51" s="296" cm="1">
        <f t="array" ref="H51">IFERROR(IF(E51=Hub!$D$8,F51, F51*((_xll.BDP(E51 &amp; Hub!$D$8 &amp; " Curncy", "PR005")/_xll.BDP(E51 &amp; Hub!$D$8 &amp; " Curncy", "DS672")))),0)</f>
        <v>0</v>
      </c>
      <c r="I51" s="71"/>
      <c r="J51" s="279">
        <f>IFERROR(IF(C51=0,0,-PV(DCF!$D$12, C51-YEAR(DCF!$D$10), H51*D51, H51, 0)),"")</f>
        <v>0</v>
      </c>
      <c r="T51" s="279"/>
      <c r="U51" s="279"/>
      <c r="V51" s="272"/>
      <c r="W51" s="272"/>
    </row>
    <row r="52" spans="3:28" x14ac:dyDescent="0.25">
      <c r="C52" s="297" cm="1">
        <f t="array" ref="C52">IFERROR(YEAR(_xll.BDP(B52,"DS035")), 0)</f>
        <v>0</v>
      </c>
      <c r="D52" s="295" cm="1">
        <f t="array" ref="D52">IFERROR(_xll.BDP(B52,"DS033")/100, 0)</f>
        <v>0</v>
      </c>
      <c r="E52" s="295" t="str" cm="1">
        <f t="array" ref="E52">IFERROR(_xll.BDP(B52,"DS004"), 0)</f>
        <v>#N/A Mandatory parameter [SECURITY] cannot be empty</v>
      </c>
      <c r="F52" s="296" cm="1">
        <f t="array" ref="F52">IFERROR(_xll.BDP(B52,"DS021")/1000000, 0)</f>
        <v>0</v>
      </c>
      <c r="G52" s="296" cm="1">
        <f t="array" ref="G52">IFERROR(_xll.BDP(B52,"DS218")/1000000, 0)</f>
        <v>0</v>
      </c>
      <c r="H52" s="296" cm="1">
        <f t="array" ref="H52">IFERROR(IF(E52=Hub!$D$8,F52, F52*((_xll.BDP(E52 &amp; Hub!$D$8 &amp; " Curncy", "PR005")/_xll.BDP(E52 &amp; Hub!$D$8 &amp; " Curncy", "DS672")))),0)</f>
        <v>0</v>
      </c>
      <c r="I52" s="71"/>
      <c r="J52" s="279">
        <f>IFERROR(IF(C52=0,0,-PV(DCF!$D$12, C52-YEAR(DCF!$D$10), H52*D52, H52, 0)),"")</f>
        <v>0</v>
      </c>
      <c r="T52" s="279"/>
      <c r="U52" s="279"/>
      <c r="V52" s="272"/>
      <c r="W52" s="272"/>
    </row>
    <row r="53" spans="3:28" x14ac:dyDescent="0.25">
      <c r="C53" s="297" cm="1">
        <f t="array" ref="C53">IFERROR(YEAR(_xll.BDP(B53,"DS035")), 0)</f>
        <v>0</v>
      </c>
      <c r="D53" s="295" cm="1">
        <f t="array" ref="D53">IFERROR(_xll.BDP(B53,"DS033")/100, 0)</f>
        <v>0</v>
      </c>
      <c r="E53" s="295" t="str" cm="1">
        <f t="array" ref="E53">IFERROR(_xll.BDP(B53,"DS004"), 0)</f>
        <v>#N/A Mandatory parameter [SECURITY] cannot be empty</v>
      </c>
      <c r="F53" s="296" cm="1">
        <f t="array" ref="F53">IFERROR(_xll.BDP(B53,"DS021")/1000000, 0)</f>
        <v>0</v>
      </c>
      <c r="G53" s="296" cm="1">
        <f t="array" ref="G53">IFERROR(_xll.BDP(B53,"DS218")/1000000, 0)</f>
        <v>0</v>
      </c>
      <c r="H53" s="296" cm="1">
        <f t="array" ref="H53">IFERROR(IF(E53=Hub!$D$8,F53, F53*((_xll.BDP(E53 &amp; Hub!$D$8 &amp; " Curncy", "PR005")/_xll.BDP(E53 &amp; Hub!$D$8 &amp; " Curncy", "DS672")))),0)</f>
        <v>0</v>
      </c>
      <c r="I53" s="71"/>
      <c r="J53" s="279">
        <f>IFERROR(IF(C53=0,0,-PV(DCF!$D$12, C53-YEAR(DCF!$D$10), H53*D53, H53, 0)),"")</f>
        <v>0</v>
      </c>
      <c r="T53" s="279"/>
      <c r="U53" s="279"/>
      <c r="V53" s="272"/>
      <c r="W53" s="272"/>
    </row>
    <row r="54" spans="3:28" x14ac:dyDescent="0.25">
      <c r="C54" s="297" cm="1">
        <f t="array" ref="C54">IFERROR(YEAR(_xll.BDP(B54,"DS035")), 0)</f>
        <v>0</v>
      </c>
      <c r="D54" s="295" cm="1">
        <f t="array" ref="D54">IFERROR(_xll.BDP(B54,"DS033")/100, 0)</f>
        <v>0</v>
      </c>
      <c r="E54" s="295" t="str" cm="1">
        <f t="array" ref="E54">IFERROR(_xll.BDP(B54,"DS004"), 0)</f>
        <v>#N/A Mandatory parameter [SECURITY] cannot be empty</v>
      </c>
      <c r="F54" s="296" cm="1">
        <f t="array" ref="F54">IFERROR(_xll.BDP(B54,"DS021")/1000000, 0)</f>
        <v>0</v>
      </c>
      <c r="G54" s="296" cm="1">
        <f t="array" ref="G54">IFERROR(_xll.BDP(B54,"DS218")/1000000, 0)</f>
        <v>0</v>
      </c>
      <c r="H54" s="296" cm="1">
        <f t="array" ref="H54">IFERROR(IF(E54=Hub!$D$8,F54, F54*((_xll.BDP(E54 &amp; Hub!$D$8 &amp; " Curncy", "PR005")/_xll.BDP(E54 &amp; Hub!$D$8 &amp; " Curncy", "DS672")))),0)</f>
        <v>0</v>
      </c>
      <c r="I54" s="71"/>
      <c r="J54" s="279">
        <f>IFERROR(IF(C54=0,0,-PV(DCF!$D$12, C54-YEAR(DCF!$D$10), H54*D54, H54, 0)),"")</f>
        <v>0</v>
      </c>
      <c r="T54" s="279"/>
      <c r="U54" s="279"/>
      <c r="V54" s="272"/>
      <c r="W54" s="272"/>
    </row>
    <row r="55" spans="3:28" x14ac:dyDescent="0.25">
      <c r="C55" s="297" cm="1">
        <f t="array" ref="C55">IFERROR(YEAR(_xll.BDP(B55,"DS035")), 0)</f>
        <v>0</v>
      </c>
      <c r="D55" s="295" cm="1">
        <f t="array" ref="D55">IFERROR(_xll.BDP(B55,"DS033")/100, 0)</f>
        <v>0</v>
      </c>
      <c r="E55" s="295" t="str" cm="1">
        <f t="array" ref="E55">IFERROR(_xll.BDP(B55,"DS004"), 0)</f>
        <v>#N/A Mandatory parameter [SECURITY] cannot be empty</v>
      </c>
      <c r="F55" s="296" cm="1">
        <f t="array" ref="F55">IFERROR(_xll.BDP(B55,"DS021")/1000000, 0)</f>
        <v>0</v>
      </c>
      <c r="G55" s="296" cm="1">
        <f t="array" ref="G55">IFERROR(_xll.BDP(B55,"DS218")/1000000, 0)</f>
        <v>0</v>
      </c>
      <c r="H55" s="296" cm="1">
        <f t="array" ref="H55">IFERROR(IF(E55=Hub!$D$8,F55, F55*((_xll.BDP(E55 &amp; Hub!$D$8 &amp; " Curncy", "PR005")/_xll.BDP(E55 &amp; Hub!$D$8 &amp; " Curncy", "DS672")))),0)</f>
        <v>0</v>
      </c>
      <c r="I55" s="71"/>
      <c r="J55" s="279">
        <f>IFERROR(IF(C55=0,0,-PV(DCF!$D$12, C55-YEAR(DCF!$D$10), H55*D55, H55, 0)),"")</f>
        <v>0</v>
      </c>
      <c r="T55" s="279"/>
      <c r="U55" s="279"/>
      <c r="V55" s="272"/>
      <c r="W55" s="272"/>
    </row>
    <row r="56" spans="3:28" x14ac:dyDescent="0.25">
      <c r="C56" s="297" cm="1">
        <f t="array" ref="C56">IFERROR(YEAR(_xll.BDP(B56,"DS035")), 0)</f>
        <v>0</v>
      </c>
      <c r="D56" s="295" cm="1">
        <f t="array" ref="D56">IFERROR(_xll.BDP(B56,"DS033")/100, 0)</f>
        <v>0</v>
      </c>
      <c r="E56" s="295" t="str" cm="1">
        <f t="array" ref="E56">IFERROR(_xll.BDP(B56,"DS004"), 0)</f>
        <v>#N/A Mandatory parameter [SECURITY] cannot be empty</v>
      </c>
      <c r="F56" s="296" cm="1">
        <f t="array" ref="F56">IFERROR(_xll.BDP(B56,"DS021")/1000000, 0)</f>
        <v>0</v>
      </c>
      <c r="G56" s="296" cm="1">
        <f t="array" ref="G56">IFERROR(_xll.BDP(B56,"DS218")/1000000, 0)</f>
        <v>0</v>
      </c>
      <c r="H56" s="296" cm="1">
        <f t="array" ref="H56">IFERROR(IF(E56=Hub!$D$8,F56, F56*((_xll.BDP(E56 &amp; Hub!$D$8 &amp; " Curncy", "PR005")/_xll.BDP(E56 &amp; Hub!$D$8 &amp; " Curncy", "DS672")))),0)</f>
        <v>0</v>
      </c>
      <c r="I56" s="71"/>
      <c r="J56" s="279">
        <f>IFERROR(IF(C56=0,0,-PV(DCF!$D$12, C56-YEAR(DCF!$D$10), H56*D56, H56, 0)),"")</f>
        <v>0</v>
      </c>
      <c r="T56" s="279"/>
      <c r="U56" s="279"/>
      <c r="V56" s="272"/>
      <c r="W56" s="272"/>
    </row>
    <row r="57" spans="3:28" x14ac:dyDescent="0.25">
      <c r="C57" s="297" cm="1">
        <f t="array" ref="C57">IFERROR(YEAR(_xll.BDP(B57,"DS035")), 0)</f>
        <v>0</v>
      </c>
      <c r="D57" s="295" cm="1">
        <f t="array" ref="D57">IFERROR(_xll.BDP(B57,"DS033")/100, 0)</f>
        <v>0</v>
      </c>
      <c r="E57" s="295" t="str" cm="1">
        <f t="array" ref="E57">IFERROR(_xll.BDP(B57,"DS004"), 0)</f>
        <v>#N/A Mandatory parameter [SECURITY] cannot be empty</v>
      </c>
      <c r="F57" s="296" cm="1">
        <f t="array" ref="F57">IFERROR(_xll.BDP(B57,"DS021")/1000000, 0)</f>
        <v>0</v>
      </c>
      <c r="G57" s="296" cm="1">
        <f t="array" ref="G57">IFERROR(_xll.BDP(B57,"DS218")/1000000, 0)</f>
        <v>0</v>
      </c>
      <c r="H57" s="296" cm="1">
        <f t="array" ref="H57">IFERROR(IF(E57=Hub!$D$8,F57, F57*((_xll.BDP(E57 &amp; Hub!$D$8 &amp; " Curncy", "PR005")/_xll.BDP(E57 &amp; Hub!$D$8 &amp; " Curncy", "DS672")))),0)</f>
        <v>0</v>
      </c>
      <c r="I57" s="71"/>
      <c r="J57" s="279">
        <f>IFERROR(IF(C57=0,0,-PV(DCF!$D$12, C57-YEAR(DCF!$D$10), H57*D57, H57, 0)),"")</f>
        <v>0</v>
      </c>
      <c r="T57" s="279"/>
      <c r="U57" s="279"/>
      <c r="V57" s="272"/>
      <c r="W57" s="272"/>
      <c r="Z57" s="85"/>
    </row>
    <row r="58" spans="3:28" x14ac:dyDescent="0.25">
      <c r="C58" s="297" cm="1">
        <f t="array" ref="C58">IFERROR(YEAR(_xll.BDP(B58,"DS035")), 0)</f>
        <v>0</v>
      </c>
      <c r="D58" s="295" cm="1">
        <f t="array" ref="D58">IFERROR(_xll.BDP(B58,"DS033")/100, 0)</f>
        <v>0</v>
      </c>
      <c r="E58" s="295" t="str" cm="1">
        <f t="array" ref="E58">IFERROR(_xll.BDP(B58,"DS004"), 0)</f>
        <v>#N/A Mandatory parameter [SECURITY] cannot be empty</v>
      </c>
      <c r="F58" s="296" cm="1">
        <f t="array" ref="F58">IFERROR(_xll.BDP(B58,"DS021")/1000000, 0)</f>
        <v>0</v>
      </c>
      <c r="G58" s="296" cm="1">
        <f t="array" ref="G58">IFERROR(_xll.BDP(B58,"DS218")/1000000, 0)</f>
        <v>0</v>
      </c>
      <c r="H58" s="296" cm="1">
        <f t="array" ref="H58">IFERROR(IF(E58=Hub!$D$8,F58, F58*((_xll.BDP(E58 &amp; Hub!$D$8 &amp; " Curncy", "PR005")/_xll.BDP(E58 &amp; Hub!$D$8 &amp; " Curncy", "DS672")))),0)</f>
        <v>0</v>
      </c>
      <c r="I58" s="71"/>
      <c r="J58" s="279">
        <f>IFERROR(IF(C58=0,0,-PV(DCF!$D$12, C58-YEAR(DCF!$D$10), H58*D58, H58, 0)),"")</f>
        <v>0</v>
      </c>
      <c r="T58" s="279"/>
      <c r="U58" s="279"/>
      <c r="V58" s="272"/>
      <c r="W58" s="272"/>
      <c r="AB58" s="273"/>
    </row>
    <row r="59" spans="3:28" x14ac:dyDescent="0.25">
      <c r="C59" s="297" cm="1">
        <f t="array" ref="C59">IFERROR(YEAR(_xll.BDP(B59,"DS035")), 0)</f>
        <v>0</v>
      </c>
      <c r="D59" s="295" cm="1">
        <f t="array" ref="D59">IFERROR(_xll.BDP(B59,"DS033")/100, 0)</f>
        <v>0</v>
      </c>
      <c r="E59" s="295" t="str" cm="1">
        <f t="array" ref="E59">IFERROR(_xll.BDP(B59,"DS004"), 0)</f>
        <v>#N/A Mandatory parameter [SECURITY] cannot be empty</v>
      </c>
      <c r="F59" s="296" cm="1">
        <f t="array" ref="F59">IFERROR(_xll.BDP(B59,"DS021")/1000000, 0)</f>
        <v>0</v>
      </c>
      <c r="G59" s="296" cm="1">
        <f t="array" ref="G59">IFERROR(_xll.BDP(B59,"DS218")/1000000, 0)</f>
        <v>0</v>
      </c>
      <c r="H59" s="296" cm="1">
        <f t="array" ref="H59">IFERROR(IF(E59=Hub!$D$8,F59, F59*((_xll.BDP(E59 &amp; Hub!$D$8 &amp; " Curncy", "PR005")/_xll.BDP(E59 &amp; Hub!$D$8 &amp; " Curncy", "DS672")))),0)</f>
        <v>0</v>
      </c>
      <c r="I59" s="71"/>
      <c r="J59" s="279">
        <f>IFERROR(IF(C59=0,0,-PV(DCF!$D$12, C59-YEAR(DCF!$D$10), H59*D59, H59, 0)),"")</f>
        <v>0</v>
      </c>
      <c r="T59" s="279"/>
      <c r="U59" s="279"/>
      <c r="V59" s="272"/>
      <c r="W59" s="272"/>
    </row>
    <row r="60" spans="3:28" ht="15" customHeight="1" x14ac:dyDescent="0.25">
      <c r="C60" s="297" cm="1">
        <f t="array" ref="C60">IFERROR(YEAR(_xll.BDP(B60,"DS035")), 0)</f>
        <v>0</v>
      </c>
      <c r="D60" s="295" cm="1">
        <f t="array" ref="D60">IFERROR(_xll.BDP(B60,"DS033")/100, 0)</f>
        <v>0</v>
      </c>
      <c r="E60" s="295" t="str" cm="1">
        <f t="array" ref="E60">IFERROR(_xll.BDP(B60,"DS004"), 0)</f>
        <v>#N/A Mandatory parameter [SECURITY] cannot be empty</v>
      </c>
      <c r="F60" s="296" cm="1">
        <f t="array" ref="F60">IFERROR(_xll.BDP(B60,"DS021")/1000000, 0)</f>
        <v>0</v>
      </c>
      <c r="G60" s="296" cm="1">
        <f t="array" ref="G60">IFERROR(_xll.BDP(B60,"DS218")/1000000, 0)</f>
        <v>0</v>
      </c>
      <c r="H60" s="296" cm="1">
        <f t="array" ref="H60">IFERROR(IF(E60=Hub!$D$8,F60, F60*((_xll.BDP(E60 &amp; Hub!$D$8 &amp; " Curncy", "PR005")/_xll.BDP(E60 &amp; Hub!$D$8 &amp; " Curncy", "DS672")))),0)</f>
        <v>0</v>
      </c>
      <c r="I60" s="71"/>
      <c r="J60" s="279">
        <f>IFERROR(IF(C60=0,0,-PV(DCF!$D$12, C60-YEAR(DCF!$D$10), H60*D60, H60, 0)),"")</f>
        <v>0</v>
      </c>
      <c r="T60" s="279"/>
      <c r="U60" s="279"/>
      <c r="V60" s="272"/>
      <c r="W60" s="272"/>
    </row>
    <row r="61" spans="3:28" ht="15" customHeight="1" x14ac:dyDescent="0.25">
      <c r="C61" s="297" cm="1">
        <f t="array" ref="C61">IFERROR(YEAR(_xll.BDP(B61,"DS035")), 0)</f>
        <v>0</v>
      </c>
      <c r="D61" s="295" cm="1">
        <f t="array" ref="D61">IFERROR(_xll.BDP(B61,"DS033")/100, 0)</f>
        <v>0</v>
      </c>
      <c r="E61" s="295" t="str" cm="1">
        <f t="array" ref="E61">IFERROR(_xll.BDP(B61,"DS004"), 0)</f>
        <v>#N/A Mandatory parameter [SECURITY] cannot be empty</v>
      </c>
      <c r="F61" s="296" cm="1">
        <f t="array" ref="F61">IFERROR(_xll.BDP(B61,"DS021")/1000000, 0)</f>
        <v>0</v>
      </c>
      <c r="G61" s="296" cm="1">
        <f t="array" ref="G61">IFERROR(_xll.BDP(B61,"DS218")/1000000, 0)</f>
        <v>0</v>
      </c>
      <c r="H61" s="296" cm="1">
        <f t="array" ref="H61">IFERROR(IF(E61=Hub!$D$8,F61, F61*((_xll.BDP(E61 &amp; Hub!$D$8 &amp; " Curncy", "PR005")/_xll.BDP(E61 &amp; Hub!$D$8 &amp; " Curncy", "DS672")))),0)</f>
        <v>0</v>
      </c>
      <c r="I61" s="71"/>
      <c r="J61" s="279">
        <f>IFERROR(IF(C61=0,0,-PV(DCF!$D$12, C61-YEAR(DCF!$D$10), H61*D61, H61, 0)),"")</f>
        <v>0</v>
      </c>
      <c r="T61" s="279"/>
      <c r="U61" s="279"/>
      <c r="V61" s="272"/>
      <c r="W61" s="272"/>
    </row>
    <row r="62" spans="3:28" x14ac:dyDescent="0.25">
      <c r="C62" s="297" cm="1">
        <f t="array" ref="C62">IFERROR(YEAR(_xll.BDP(B62,"DS035")), 0)</f>
        <v>0</v>
      </c>
      <c r="D62" s="295" cm="1">
        <f t="array" ref="D62">IFERROR(_xll.BDP(B62,"DS033")/100, 0)</f>
        <v>0</v>
      </c>
      <c r="E62" s="295" t="str" cm="1">
        <f t="array" ref="E62">IFERROR(_xll.BDP(B62,"DS004"), 0)</f>
        <v>#N/A Mandatory parameter [SECURITY] cannot be empty</v>
      </c>
      <c r="F62" s="296" cm="1">
        <f t="array" ref="F62">IFERROR(_xll.BDP(B62,"DS021")/1000000, 0)</f>
        <v>0</v>
      </c>
      <c r="G62" s="296" cm="1">
        <f t="array" ref="G62">IFERROR(_xll.BDP(B62,"DS218")/1000000, 0)</f>
        <v>0</v>
      </c>
      <c r="H62" s="296" cm="1">
        <f t="array" ref="H62">IFERROR(IF(E62=Hub!$D$8,F62, F62*((_xll.BDP(E62 &amp; Hub!$D$8 &amp; " Curncy", "PR005")/_xll.BDP(E62 &amp; Hub!$D$8 &amp; " Curncy", "DS672")))),0)</f>
        <v>0</v>
      </c>
      <c r="I62" s="71"/>
      <c r="J62" s="279">
        <f>IFERROR(IF(C62=0,0,-PV(DCF!$D$12, C62-YEAR(DCF!$D$10), H62*D62, H62, 0)),"")</f>
        <v>0</v>
      </c>
      <c r="T62" s="279"/>
      <c r="U62" s="279"/>
      <c r="V62" s="272"/>
      <c r="W62" s="272"/>
      <c r="AA62" s="85"/>
    </row>
    <row r="63" spans="3:28" x14ac:dyDescent="0.25">
      <c r="C63" s="297" cm="1">
        <f t="array" ref="C63">IFERROR(YEAR(_xll.BDP(B63,"DS035")), 0)</f>
        <v>0</v>
      </c>
      <c r="D63" s="295" cm="1">
        <f t="array" ref="D63">IFERROR(_xll.BDP(B63,"DS033")/100, 0)</f>
        <v>0</v>
      </c>
      <c r="E63" s="295" t="str" cm="1">
        <f t="array" ref="E63">IFERROR(_xll.BDP(B63,"DS004"), 0)</f>
        <v>#N/A Mandatory parameter [SECURITY] cannot be empty</v>
      </c>
      <c r="F63" s="296" cm="1">
        <f t="array" ref="F63">IFERROR(_xll.BDP(B63,"DS021")/1000000, 0)</f>
        <v>0</v>
      </c>
      <c r="G63" s="296" cm="1">
        <f t="array" ref="G63">IFERROR(_xll.BDP(B63,"DS218")/1000000, 0)</f>
        <v>0</v>
      </c>
      <c r="H63" s="296" cm="1">
        <f t="array" ref="H63">IFERROR(IF(E63=Hub!$D$8,F63, F63*((_xll.BDP(E63 &amp; Hub!$D$8 &amp; " Curncy", "PR005")/_xll.BDP(E63 &amp; Hub!$D$8 &amp; " Curncy", "DS672")))),0)</f>
        <v>0</v>
      </c>
      <c r="I63" s="71"/>
      <c r="J63" s="279">
        <f>IFERROR(IF(C63=0,0,-PV(DCF!$D$12, C63-YEAR(DCF!$D$10), H63*D63, H63, 0)),"")</f>
        <v>0</v>
      </c>
      <c r="T63" s="279"/>
      <c r="U63" s="279"/>
      <c r="V63" s="272"/>
      <c r="W63" s="272"/>
    </row>
    <row r="64" spans="3:28" x14ac:dyDescent="0.25">
      <c r="C64" s="297" cm="1">
        <f t="array" ref="C64">IFERROR(YEAR(_xll.BDP(B64,"DS035")), 0)</f>
        <v>0</v>
      </c>
      <c r="D64" s="295" cm="1">
        <f t="array" ref="D64">IFERROR(_xll.BDP(B64,"DS033")/100, 0)</f>
        <v>0</v>
      </c>
      <c r="E64" s="295" t="str" cm="1">
        <f t="array" ref="E64">IFERROR(_xll.BDP(B64,"DS004"), 0)</f>
        <v>#N/A Mandatory parameter [SECURITY] cannot be empty</v>
      </c>
      <c r="F64" s="296" cm="1">
        <f t="array" ref="F64">IFERROR(_xll.BDP(B64,"DS021")/1000000, 0)</f>
        <v>0</v>
      </c>
      <c r="G64" s="296" cm="1">
        <f t="array" ref="G64">IFERROR(_xll.BDP(B64,"DS218")/1000000, 0)</f>
        <v>0</v>
      </c>
      <c r="H64" s="296" cm="1">
        <f t="array" ref="H64">IFERROR(IF(E64=Hub!$D$8,F64, F64*((_xll.BDP(E64 &amp; Hub!$D$8 &amp; " Curncy", "PR005")/_xll.BDP(E64 &amp; Hub!$D$8 &amp; " Curncy", "DS672")))),0)</f>
        <v>0</v>
      </c>
      <c r="I64" s="71"/>
      <c r="J64" s="279">
        <f>IFERROR(IF(C64=0,0,-PV(DCF!$D$12, C64-YEAR(DCF!$D$10), H64*D64, H64, 0)),"")</f>
        <v>0</v>
      </c>
      <c r="T64" s="279"/>
      <c r="U64" s="279"/>
      <c r="V64" s="272"/>
      <c r="W64" s="272"/>
    </row>
    <row r="65" spans="3:23" x14ac:dyDescent="0.25">
      <c r="C65" s="297" cm="1">
        <f t="array" ref="C65">IFERROR(YEAR(_xll.BDP(B65,"DS035")), 0)</f>
        <v>0</v>
      </c>
      <c r="D65" s="295" cm="1">
        <f t="array" ref="D65">IFERROR(_xll.BDP(B65,"DS033")/100, 0)</f>
        <v>0</v>
      </c>
      <c r="E65" s="295" t="str" cm="1">
        <f t="array" ref="E65">IFERROR(_xll.BDP(B65,"DS004"), 0)</f>
        <v>#N/A Mandatory parameter [SECURITY] cannot be empty</v>
      </c>
      <c r="F65" s="296" cm="1">
        <f t="array" ref="F65">IFERROR(_xll.BDP(B65,"DS021")/1000000, 0)</f>
        <v>0</v>
      </c>
      <c r="G65" s="296" cm="1">
        <f t="array" ref="G65">IFERROR(_xll.BDP(B65,"DS218")/1000000, 0)</f>
        <v>0</v>
      </c>
      <c r="H65" s="296" cm="1">
        <f t="array" ref="H65">IFERROR(IF(E65=Hub!$D$8,F65, F65*((_xll.BDP(E65 &amp; Hub!$D$8 &amp; " Curncy", "PR005")/_xll.BDP(E65 &amp; Hub!$D$8 &amp; " Curncy", "DS672")))),0)</f>
        <v>0</v>
      </c>
      <c r="I65" s="71"/>
      <c r="J65" s="279">
        <f>IFERROR(IF(C65=0,0,-PV(DCF!$D$12, C65-YEAR(DCF!$D$10), H65*D65, H65, 0)),"")</f>
        <v>0</v>
      </c>
      <c r="T65" s="279"/>
      <c r="U65" s="279"/>
      <c r="V65" s="272"/>
      <c r="W65" s="272"/>
    </row>
    <row r="66" spans="3:23" x14ac:dyDescent="0.25">
      <c r="C66" s="297" cm="1">
        <f t="array" ref="C66">IFERROR(YEAR(_xll.BDP(B66,"DS035")), 0)</f>
        <v>0</v>
      </c>
      <c r="D66" s="295" cm="1">
        <f t="array" ref="D66">IFERROR(_xll.BDP(B66,"DS033")/100, 0)</f>
        <v>0</v>
      </c>
      <c r="E66" s="295" t="str" cm="1">
        <f t="array" ref="E66">IFERROR(_xll.BDP(B66,"DS004"), 0)</f>
        <v>#N/A Mandatory parameter [SECURITY] cannot be empty</v>
      </c>
      <c r="F66" s="296" cm="1">
        <f t="array" ref="F66">IFERROR(_xll.BDP(B66,"DS021")/1000000, 0)</f>
        <v>0</v>
      </c>
      <c r="G66" s="296" cm="1">
        <f t="array" ref="G66">IFERROR(_xll.BDP(B66,"DS218")/1000000, 0)</f>
        <v>0</v>
      </c>
      <c r="H66" s="296" cm="1">
        <f t="array" ref="H66">IFERROR(IF(E66=Hub!$D$8,F66, F66*((_xll.BDP(E66 &amp; Hub!$D$8 &amp; " Curncy", "PR005")/_xll.BDP(E66 &amp; Hub!$D$8 &amp; " Curncy", "DS672")))),0)</f>
        <v>0</v>
      </c>
      <c r="I66" s="71"/>
      <c r="J66" s="279">
        <f>IFERROR(IF(C66=0,0,-PV(DCF!$D$12, C66-YEAR(DCF!$D$10), H66*D66, H66, 0)),"")</f>
        <v>0</v>
      </c>
      <c r="T66" s="279"/>
      <c r="U66" s="279"/>
      <c r="V66" s="272"/>
      <c r="W66" s="272"/>
    </row>
    <row r="67" spans="3:23" x14ac:dyDescent="0.25">
      <c r="C67" s="297" cm="1">
        <f t="array" ref="C67">IFERROR(YEAR(_xll.BDP(B67,"DS035")), 0)</f>
        <v>0</v>
      </c>
      <c r="D67" s="295" cm="1">
        <f t="array" ref="D67">IFERROR(_xll.BDP(B67,"DS033")/100, 0)</f>
        <v>0</v>
      </c>
      <c r="E67" s="295" t="str" cm="1">
        <f t="array" ref="E67">IFERROR(_xll.BDP(B67,"DS004"), 0)</f>
        <v>#N/A Mandatory parameter [SECURITY] cannot be empty</v>
      </c>
      <c r="F67" s="296" cm="1">
        <f t="array" ref="F67">IFERROR(_xll.BDP(B67,"DS021")/1000000, 0)</f>
        <v>0</v>
      </c>
      <c r="G67" s="296" cm="1">
        <f t="array" ref="G67">IFERROR(_xll.BDP(B67,"DS218")/1000000, 0)</f>
        <v>0</v>
      </c>
      <c r="H67" s="296" cm="1">
        <f t="array" ref="H67">IFERROR(IF(E67=Hub!$D$8,F67, F67*((_xll.BDP(E67 &amp; Hub!$D$8 &amp; " Curncy", "PR005")/_xll.BDP(E67 &amp; Hub!$D$8 &amp; " Curncy", "DS672")))),0)</f>
        <v>0</v>
      </c>
      <c r="I67" s="71"/>
      <c r="J67" s="279">
        <f>IFERROR(IF(C67=0,0,-PV(DCF!$D$12, C67-YEAR(DCF!$D$10), H67*D67, H67, 0)),"")</f>
        <v>0</v>
      </c>
      <c r="T67" s="279"/>
      <c r="U67" s="279"/>
      <c r="V67" s="272"/>
      <c r="W67" s="272"/>
    </row>
    <row r="68" spans="3:23" x14ac:dyDescent="0.25">
      <c r="C68" s="297" cm="1">
        <f t="array" ref="C68">IFERROR(YEAR(_xll.BDP(B68,"DS035")), 0)</f>
        <v>0</v>
      </c>
      <c r="D68" s="295" cm="1">
        <f t="array" ref="D68">IFERROR(_xll.BDP(B68,"DS033")/100, 0)</f>
        <v>0</v>
      </c>
      <c r="E68" s="295" t="str" cm="1">
        <f t="array" ref="E68">IFERROR(_xll.BDP(B68,"DS004"), 0)</f>
        <v>#N/A Mandatory parameter [SECURITY] cannot be empty</v>
      </c>
      <c r="F68" s="296" cm="1">
        <f t="array" ref="F68">IFERROR(_xll.BDP(B68,"DS021")/1000000, 0)</f>
        <v>0</v>
      </c>
      <c r="G68" s="296" cm="1">
        <f t="array" ref="G68">IFERROR(_xll.BDP(B68,"DS218")/1000000, 0)</f>
        <v>0</v>
      </c>
      <c r="H68" s="296" cm="1">
        <f t="array" ref="H68">IFERROR(IF(E68=Hub!$D$8,F68, F68*((_xll.BDP(E68 &amp; Hub!$D$8 &amp; " Curncy", "PR005")/_xll.BDP(E68 &amp; Hub!$D$8 &amp; " Curncy", "DS672")))),0)</f>
        <v>0</v>
      </c>
      <c r="I68" s="71"/>
      <c r="J68" s="279">
        <f>IFERROR(IF(C68=0,0,-PV(DCF!$D$12, C68-YEAR(DCF!$D$10), H68*D68, H68, 0)),"")</f>
        <v>0</v>
      </c>
      <c r="T68" s="279"/>
      <c r="U68" s="279"/>
      <c r="V68" s="272"/>
      <c r="W68" s="272"/>
    </row>
    <row r="69" spans="3:23" x14ac:dyDescent="0.25">
      <c r="C69" s="297" cm="1">
        <f t="array" ref="C69">IFERROR(YEAR(_xll.BDP(B69,"DS035")), 0)</f>
        <v>0</v>
      </c>
      <c r="D69" s="295" cm="1">
        <f t="array" ref="D69">IFERROR(_xll.BDP(B69,"DS033")/100, 0)</f>
        <v>0</v>
      </c>
      <c r="E69" s="295" t="str" cm="1">
        <f t="array" ref="E69">IFERROR(_xll.BDP(B69,"DS004"), 0)</f>
        <v>#N/A Mandatory parameter [SECURITY] cannot be empty</v>
      </c>
      <c r="F69" s="296" cm="1">
        <f t="array" ref="F69">IFERROR(_xll.BDP(B69,"DS021")/1000000, 0)</f>
        <v>0</v>
      </c>
      <c r="G69" s="296" cm="1">
        <f t="array" ref="G69">IFERROR(_xll.BDP(B69,"DS218")/1000000, 0)</f>
        <v>0</v>
      </c>
      <c r="H69" s="296" cm="1">
        <f t="array" ref="H69">IFERROR(IF(E69=Hub!$D$8,F69, F69*((_xll.BDP(E69 &amp; Hub!$D$8 &amp; " Curncy", "PR005")/_xll.BDP(E69 &amp; Hub!$D$8 &amp; " Curncy", "DS672")))),0)</f>
        <v>0</v>
      </c>
      <c r="I69" s="71"/>
      <c r="J69" s="279">
        <f>IFERROR(IF(C69=0,0,-PV(DCF!$D$12, C69-YEAR(DCF!$D$10), H69*D69, H69, 0)),"")</f>
        <v>0</v>
      </c>
      <c r="T69" s="279"/>
      <c r="U69" s="279"/>
      <c r="V69" s="272"/>
      <c r="W69" s="272"/>
    </row>
    <row r="70" spans="3:23" x14ac:dyDescent="0.25">
      <c r="C70" s="297" cm="1">
        <f t="array" ref="C70">IFERROR(YEAR(_xll.BDP(B70,"DS035")), 0)</f>
        <v>0</v>
      </c>
      <c r="D70" s="295" cm="1">
        <f t="array" ref="D70">IFERROR(_xll.BDP(B70,"DS033")/100, 0)</f>
        <v>0</v>
      </c>
      <c r="E70" s="295" t="str" cm="1">
        <f t="array" ref="E70">IFERROR(_xll.BDP(B70,"DS004"), 0)</f>
        <v>#N/A Mandatory parameter [SECURITY] cannot be empty</v>
      </c>
      <c r="F70" s="296" cm="1">
        <f t="array" ref="F70">IFERROR(_xll.BDP(B70,"DS021")/1000000, 0)</f>
        <v>0</v>
      </c>
      <c r="G70" s="296" cm="1">
        <f t="array" ref="G70">IFERROR(_xll.BDP(B70,"DS218")/1000000, 0)</f>
        <v>0</v>
      </c>
      <c r="H70" s="296" cm="1">
        <f t="array" ref="H70">IFERROR(IF(E70=Hub!$D$8,F70, F70*((_xll.BDP(E70 &amp; Hub!$D$8 &amp; " Curncy", "PR005")/_xll.BDP(E70 &amp; Hub!$D$8 &amp; " Curncy", "DS672")))),0)</f>
        <v>0</v>
      </c>
      <c r="I70" s="71"/>
      <c r="J70" s="279">
        <f>IFERROR(IF(C70=0,0,-PV(DCF!$D$12, C70-YEAR(DCF!$D$10), H70*D70, H70, 0)),"")</f>
        <v>0</v>
      </c>
      <c r="T70" s="279"/>
      <c r="U70" s="279"/>
      <c r="V70" s="272"/>
      <c r="W70" s="272"/>
    </row>
    <row r="71" spans="3:23" x14ac:dyDescent="0.25">
      <c r="C71" s="297" cm="1">
        <f t="array" ref="C71">IFERROR(YEAR(_xll.BDP(B71,"DS035")), 0)</f>
        <v>0</v>
      </c>
      <c r="D71" s="295" cm="1">
        <f t="array" ref="D71">IFERROR(_xll.BDP(B71,"DS033")/100, 0)</f>
        <v>0</v>
      </c>
      <c r="E71" s="295" t="str" cm="1">
        <f t="array" ref="E71">IFERROR(_xll.BDP(B71,"DS004"), 0)</f>
        <v>#N/A Mandatory parameter [SECURITY] cannot be empty</v>
      </c>
      <c r="F71" s="296" cm="1">
        <f t="array" ref="F71">IFERROR(_xll.BDP(B71,"DS021")/1000000, 0)</f>
        <v>0</v>
      </c>
      <c r="G71" s="296" cm="1">
        <f t="array" ref="G71">IFERROR(_xll.BDP(B71,"DS218")/1000000, 0)</f>
        <v>0</v>
      </c>
      <c r="H71" s="296" cm="1">
        <f t="array" ref="H71">IFERROR(IF(E71=Hub!$D$8,F71, F71*((_xll.BDP(E71 &amp; Hub!$D$8 &amp; " Curncy", "PR005")/_xll.BDP(E71 &amp; Hub!$D$8 &amp; " Curncy", "DS672")))),0)</f>
        <v>0</v>
      </c>
      <c r="I71" s="71"/>
      <c r="J71" s="279">
        <f>IFERROR(IF(C71=0,0,-PV(DCF!$D$12, C71-YEAR(DCF!$D$10), H71*D71, H71, 0)),"")</f>
        <v>0</v>
      </c>
      <c r="T71" s="279"/>
      <c r="U71" s="279"/>
      <c r="V71" s="272"/>
      <c r="W71" s="272"/>
    </row>
    <row r="72" spans="3:23" x14ac:dyDescent="0.25">
      <c r="C72" s="297" cm="1">
        <f t="array" ref="C72">IFERROR(YEAR(_xll.BDP(B72,"DS035")), 0)</f>
        <v>0</v>
      </c>
      <c r="D72" s="295" cm="1">
        <f t="array" ref="D72">IFERROR(_xll.BDP(B72,"DS033")/100, 0)</f>
        <v>0</v>
      </c>
      <c r="E72" s="295" t="str" cm="1">
        <f t="array" ref="E72">IFERROR(_xll.BDP(B72,"DS004"), 0)</f>
        <v>#N/A Mandatory parameter [SECURITY] cannot be empty</v>
      </c>
      <c r="F72" s="296" cm="1">
        <f t="array" ref="F72">IFERROR(_xll.BDP(B72,"DS021")/1000000, 0)</f>
        <v>0</v>
      </c>
      <c r="G72" s="296" cm="1">
        <f t="array" ref="G72">IFERROR(_xll.BDP(B72,"DS218")/1000000, 0)</f>
        <v>0</v>
      </c>
      <c r="H72" s="296" cm="1">
        <f t="array" ref="H72">IFERROR(IF(E72=Hub!$D$8,F72, F72*((_xll.BDP(E72 &amp; Hub!$D$8 &amp; " Curncy", "PR005")/_xll.BDP(E72 &amp; Hub!$D$8 &amp; " Curncy", "DS672")))),0)</f>
        <v>0</v>
      </c>
      <c r="I72" s="71"/>
      <c r="J72" s="279">
        <f>IFERROR(IF(C72=0,0,-PV(DCF!$D$12, C72-YEAR(DCF!$D$10), H72*D72, H72, 0)),"")</f>
        <v>0</v>
      </c>
      <c r="T72" s="279"/>
      <c r="U72" s="279"/>
      <c r="V72" s="272"/>
      <c r="W72" s="272"/>
    </row>
    <row r="73" spans="3:23" x14ac:dyDescent="0.25">
      <c r="C73" s="297" cm="1">
        <f t="array" ref="C73">IFERROR(YEAR(_xll.BDP(B73,"DS035")), 0)</f>
        <v>0</v>
      </c>
      <c r="D73" s="295" cm="1">
        <f t="array" ref="D73">IFERROR(_xll.BDP(B73,"DS033")/100, 0)</f>
        <v>0</v>
      </c>
      <c r="E73" s="295" t="str" cm="1">
        <f t="array" ref="E73">IFERROR(_xll.BDP(B73,"DS004"), 0)</f>
        <v>#N/A Mandatory parameter [SECURITY] cannot be empty</v>
      </c>
      <c r="F73" s="296" cm="1">
        <f t="array" ref="F73">IFERROR(_xll.BDP(B73,"DS021")/1000000, 0)</f>
        <v>0</v>
      </c>
      <c r="G73" s="296" cm="1">
        <f t="array" ref="G73">IFERROR(_xll.BDP(B73,"DS218")/1000000, 0)</f>
        <v>0</v>
      </c>
      <c r="H73" s="296" cm="1">
        <f t="array" ref="H73">IFERROR(IF(E73=Hub!$D$8,F73, F73*((_xll.BDP(E73 &amp; Hub!$D$8 &amp; " Curncy", "PR005")/_xll.BDP(E73 &amp; Hub!$D$8 &amp; " Curncy", "DS672")))),0)</f>
        <v>0</v>
      </c>
      <c r="I73" s="71"/>
      <c r="J73" s="279">
        <f>IFERROR(IF(C73=0,0,-PV(DCF!$D$12, C73-YEAR(DCF!$D$10), H73*D73, H73, 0)),"")</f>
        <v>0</v>
      </c>
      <c r="T73" s="279"/>
      <c r="U73" s="279"/>
      <c r="V73" s="272"/>
      <c r="W73" s="272"/>
    </row>
    <row r="74" spans="3:23" x14ac:dyDescent="0.25">
      <c r="C74" s="297" cm="1">
        <f t="array" ref="C74">IFERROR(YEAR(_xll.BDP(B74,"DS035")), 0)</f>
        <v>0</v>
      </c>
      <c r="D74" s="295" cm="1">
        <f t="array" ref="D74">IFERROR(_xll.BDP(B74,"DS033")/100, 0)</f>
        <v>0</v>
      </c>
      <c r="E74" s="295" t="str" cm="1">
        <f t="array" ref="E74">IFERROR(_xll.BDP(B74,"DS004"), 0)</f>
        <v>#N/A Mandatory parameter [SECURITY] cannot be empty</v>
      </c>
      <c r="F74" s="296" cm="1">
        <f t="array" ref="F74">IFERROR(_xll.BDP(B74,"DS021")/1000000, 0)</f>
        <v>0</v>
      </c>
      <c r="G74" s="296" cm="1">
        <f t="array" ref="G74">IFERROR(_xll.BDP(B74,"DS218")/1000000, 0)</f>
        <v>0</v>
      </c>
      <c r="H74" s="296" cm="1">
        <f t="array" ref="H74">IFERROR(IF(E74=Hub!$D$8,F74, F74*((_xll.BDP(E74 &amp; Hub!$D$8 &amp; " Curncy", "PR005")/_xll.BDP(E74 &amp; Hub!$D$8 &amp; " Curncy", "DS672")))),0)</f>
        <v>0</v>
      </c>
      <c r="I74" s="71"/>
      <c r="J74" s="279">
        <f>IFERROR(IF(C74=0,0,-PV(DCF!$D$12, C74-YEAR(DCF!$D$10), H74*D74, H74, 0)),"")</f>
        <v>0</v>
      </c>
      <c r="T74" s="279"/>
      <c r="U74" s="279"/>
      <c r="V74" s="272"/>
      <c r="W74" s="272"/>
    </row>
    <row r="75" spans="3:23" x14ac:dyDescent="0.25">
      <c r="C75" s="297" cm="1">
        <f t="array" ref="C75">IFERROR(YEAR(_xll.BDP(B75,"DS035")), 0)</f>
        <v>0</v>
      </c>
      <c r="D75" s="295" cm="1">
        <f t="array" ref="D75">IFERROR(_xll.BDP(B75,"DS033")/100, 0)</f>
        <v>0</v>
      </c>
      <c r="E75" s="295" t="str" cm="1">
        <f t="array" ref="E75">IFERROR(_xll.BDP(B75,"DS004"), 0)</f>
        <v>#N/A Mandatory parameter [SECURITY] cannot be empty</v>
      </c>
      <c r="F75" s="296" cm="1">
        <f t="array" ref="F75">IFERROR(_xll.BDP(B75,"DS021")/1000000, 0)</f>
        <v>0</v>
      </c>
      <c r="G75" s="296" cm="1">
        <f t="array" ref="G75">IFERROR(_xll.BDP(B75,"DS218")/1000000, 0)</f>
        <v>0</v>
      </c>
      <c r="H75" s="296" cm="1">
        <f t="array" ref="H75">IFERROR(IF(E75=Hub!$D$8,F75, F75*((_xll.BDP(E75 &amp; Hub!$D$8 &amp; " Curncy", "PR005")/_xll.BDP(E75 &amp; Hub!$D$8 &amp; " Curncy", "DS672")))),0)</f>
        <v>0</v>
      </c>
      <c r="I75" s="71"/>
      <c r="J75" s="279">
        <f>IFERROR(IF(C75=0,0,-PV(DCF!$D$12, C75-YEAR(DCF!$D$10), H75*D75, H75, 0)),"")</f>
        <v>0</v>
      </c>
      <c r="T75" s="279"/>
      <c r="U75" s="279"/>
      <c r="V75" s="272"/>
      <c r="W75" s="272"/>
    </row>
    <row r="76" spans="3:23" x14ac:dyDescent="0.25">
      <c r="C76" s="297" cm="1">
        <f t="array" ref="C76">IFERROR(YEAR(_xll.BDP(B76,"DS035")), 0)</f>
        <v>0</v>
      </c>
      <c r="D76" s="295" cm="1">
        <f t="array" ref="D76">IFERROR(_xll.BDP(B76,"DS033")/100, 0)</f>
        <v>0</v>
      </c>
      <c r="E76" s="295" t="str" cm="1">
        <f t="array" ref="E76">IFERROR(_xll.BDP(B76,"DS004"), 0)</f>
        <v>#N/A Mandatory parameter [SECURITY] cannot be empty</v>
      </c>
      <c r="F76" s="296" cm="1">
        <f t="array" ref="F76">IFERROR(_xll.BDP(B76,"DS021")/1000000, 0)</f>
        <v>0</v>
      </c>
      <c r="G76" s="296" cm="1">
        <f t="array" ref="G76">IFERROR(_xll.BDP(B76,"DS218")/1000000, 0)</f>
        <v>0</v>
      </c>
      <c r="H76" s="296" cm="1">
        <f t="array" ref="H76">IFERROR(IF(E76=Hub!$D$8,F76, F76*((_xll.BDP(E76 &amp; Hub!$D$8 &amp; " Curncy", "PR005")/_xll.BDP(E76 &amp; Hub!$D$8 &amp; " Curncy", "DS672")))),0)</f>
        <v>0</v>
      </c>
      <c r="I76" s="71"/>
      <c r="J76" s="279">
        <f>IFERROR(IF(C76=0,0,-PV(DCF!$D$12, C76-YEAR(DCF!$D$10), H76*D76, H76, 0)),"")</f>
        <v>0</v>
      </c>
      <c r="T76" s="279"/>
      <c r="U76" s="279"/>
      <c r="V76" s="272"/>
      <c r="W76" s="272"/>
    </row>
    <row r="77" spans="3:23" x14ac:dyDescent="0.25">
      <c r="C77" s="297" cm="1">
        <f t="array" ref="C77">IFERROR(YEAR(_xll.BDP(B77,"DS035")), 0)</f>
        <v>0</v>
      </c>
      <c r="D77" s="295" cm="1">
        <f t="array" ref="D77">IFERROR(_xll.BDP(B77,"DS033")/100, 0)</f>
        <v>0</v>
      </c>
      <c r="E77" s="295" t="str" cm="1">
        <f t="array" ref="E77">IFERROR(_xll.BDP(B77,"DS004"), 0)</f>
        <v>#N/A Mandatory parameter [SECURITY] cannot be empty</v>
      </c>
      <c r="F77" s="296" cm="1">
        <f t="array" ref="F77">IFERROR(_xll.BDP(B77,"DS021")/1000000, 0)</f>
        <v>0</v>
      </c>
      <c r="G77" s="296" cm="1">
        <f t="array" ref="G77">IFERROR(_xll.BDP(B77,"DS218")/1000000, 0)</f>
        <v>0</v>
      </c>
      <c r="H77" s="296" cm="1">
        <f t="array" ref="H77">IFERROR(IF(E77=Hub!$D$8,F77, F77*((_xll.BDP(E77 &amp; Hub!$D$8 &amp; " Curncy", "PR005")/_xll.BDP(E77 &amp; Hub!$D$8 &amp; " Curncy", "DS672")))),0)</f>
        <v>0</v>
      </c>
      <c r="I77" s="71"/>
      <c r="J77" s="279">
        <f>IFERROR(IF(C77=0,0,-PV(DCF!$D$12, C77-YEAR(DCF!$D$10), H77*D77, H77, 0)),"")</f>
        <v>0</v>
      </c>
      <c r="T77" s="279"/>
      <c r="U77" s="279"/>
      <c r="V77" s="272"/>
      <c r="W77" s="272"/>
    </row>
    <row r="78" spans="3:23" x14ac:dyDescent="0.25">
      <c r="C78" s="297" cm="1">
        <f t="array" ref="C78">IFERROR(YEAR(_xll.BDP(B78,"DS035")), 0)</f>
        <v>0</v>
      </c>
      <c r="D78" s="295" cm="1">
        <f t="array" ref="D78">IFERROR(_xll.BDP(B78,"DS033")/100, 0)</f>
        <v>0</v>
      </c>
      <c r="E78" s="295" t="str" cm="1">
        <f t="array" ref="E78">IFERROR(_xll.BDP(B78,"DS004"), 0)</f>
        <v>#N/A Mandatory parameter [SECURITY] cannot be empty</v>
      </c>
      <c r="F78" s="296" cm="1">
        <f t="array" ref="F78">IFERROR(_xll.BDP(B78,"DS021")/1000000, 0)</f>
        <v>0</v>
      </c>
      <c r="G78" s="296" cm="1">
        <f t="array" ref="G78">IFERROR(_xll.BDP(B78,"DS218")/1000000, 0)</f>
        <v>0</v>
      </c>
      <c r="H78" s="296" cm="1">
        <f t="array" ref="H78">IFERROR(IF(E78=Hub!$D$8,F78, F78*((_xll.BDP(E78 &amp; Hub!$D$8 &amp; " Curncy", "PR005")/_xll.BDP(E78 &amp; Hub!$D$8 &amp; " Curncy", "DS672")))),0)</f>
        <v>0</v>
      </c>
      <c r="I78" s="71"/>
      <c r="J78" s="279">
        <f>IFERROR(IF(C78=0,0,-PV(DCF!$D$12, C78-YEAR(DCF!$D$10), H78*D78, H78, 0)),"")</f>
        <v>0</v>
      </c>
      <c r="T78" s="279"/>
      <c r="U78" s="279"/>
      <c r="V78" s="272"/>
      <c r="W78" s="272"/>
    </row>
    <row r="79" spans="3:23" x14ac:dyDescent="0.25">
      <c r="C79" s="297" cm="1">
        <f t="array" ref="C79">IFERROR(YEAR(_xll.BDP(B79,"DS035")), 0)</f>
        <v>0</v>
      </c>
      <c r="D79" s="295" cm="1">
        <f t="array" ref="D79">IFERROR(_xll.BDP(B79,"DS033")/100, 0)</f>
        <v>0</v>
      </c>
      <c r="E79" s="295" t="str" cm="1">
        <f t="array" ref="E79">IFERROR(_xll.BDP(B79,"DS004"), 0)</f>
        <v>#N/A Mandatory parameter [SECURITY] cannot be empty</v>
      </c>
      <c r="F79" s="296" cm="1">
        <f t="array" ref="F79">IFERROR(_xll.BDP(B79,"DS021")/1000000, 0)</f>
        <v>0</v>
      </c>
      <c r="G79" s="296" cm="1">
        <f t="array" ref="G79">IFERROR(_xll.BDP(B79,"DS218")/1000000, 0)</f>
        <v>0</v>
      </c>
      <c r="H79" s="296" cm="1">
        <f t="array" ref="H79">IFERROR(IF(E79=Hub!$D$8,F79, F79*((_xll.BDP(E79 &amp; Hub!$D$8 &amp; " Curncy", "PR005")/_xll.BDP(E79 &amp; Hub!$D$8 &amp; " Curncy", "DS672")))),0)</f>
        <v>0</v>
      </c>
      <c r="I79" s="71"/>
      <c r="J79" s="279">
        <f>IFERROR(IF(C79=0,0,-PV(DCF!$D$12, C79-YEAR(DCF!$D$10), H79*D79, H79, 0)),"")</f>
        <v>0</v>
      </c>
      <c r="T79" s="279"/>
      <c r="U79" s="279"/>
      <c r="V79" s="272"/>
      <c r="W79" s="272"/>
    </row>
    <row r="80" spans="3:23" x14ac:dyDescent="0.25">
      <c r="C80" s="297" cm="1">
        <f t="array" ref="C80">IFERROR(YEAR(_xll.BDP(B80,"DS035")), 0)</f>
        <v>0</v>
      </c>
      <c r="D80" s="295" cm="1">
        <f t="array" ref="D80">IFERROR(_xll.BDP(B80,"DS033")/100, 0)</f>
        <v>0</v>
      </c>
      <c r="E80" s="295" t="str" cm="1">
        <f t="array" ref="E80">IFERROR(_xll.BDP(B80,"DS004"), 0)</f>
        <v>#N/A Mandatory parameter [SECURITY] cannot be empty</v>
      </c>
      <c r="F80" s="296" cm="1">
        <f t="array" ref="F80">IFERROR(_xll.BDP(B80,"DS021")/1000000, 0)</f>
        <v>0</v>
      </c>
      <c r="G80" s="296" cm="1">
        <f t="array" ref="G80">IFERROR(_xll.BDP(B80,"DS218")/1000000, 0)</f>
        <v>0</v>
      </c>
      <c r="H80" s="296" cm="1">
        <f t="array" ref="H80">IFERROR(IF(E80=Hub!$D$8,F80, F80*((_xll.BDP(E80 &amp; Hub!$D$8 &amp; " Curncy", "PR005")/_xll.BDP(E80 &amp; Hub!$D$8 &amp; " Curncy", "DS672")))),0)</f>
        <v>0</v>
      </c>
      <c r="I80" s="71"/>
      <c r="J80" s="279">
        <f>IFERROR(IF(C80=0,0,-PV(DCF!$D$12, C80-YEAR(DCF!$D$10), H80*D80, H80, 0)),"")</f>
        <v>0</v>
      </c>
      <c r="T80" s="279"/>
      <c r="U80" s="279"/>
      <c r="V80" s="272"/>
      <c r="W80" s="272"/>
    </row>
    <row r="81" spans="3:23" x14ac:dyDescent="0.25">
      <c r="C81" s="297" cm="1">
        <f t="array" ref="C81">IFERROR(YEAR(_xll.BDP(B81,"DS035")), 0)</f>
        <v>0</v>
      </c>
      <c r="D81" s="295" cm="1">
        <f t="array" ref="D81">IFERROR(_xll.BDP(B81,"DS033")/100, 0)</f>
        <v>0</v>
      </c>
      <c r="E81" s="295" t="str" cm="1">
        <f t="array" ref="E81">IFERROR(_xll.BDP(B81,"DS004"), 0)</f>
        <v>#N/A Mandatory parameter [SECURITY] cannot be empty</v>
      </c>
      <c r="F81" s="296" cm="1">
        <f t="array" ref="F81">IFERROR(_xll.BDP(B81,"DS021")/1000000, 0)</f>
        <v>0</v>
      </c>
      <c r="G81" s="296" cm="1">
        <f t="array" ref="G81">IFERROR(_xll.BDP(B81,"DS218")/1000000, 0)</f>
        <v>0</v>
      </c>
      <c r="H81" s="296" cm="1">
        <f t="array" ref="H81">IFERROR(IF(E81=Hub!$D$8,F81, F81*((_xll.BDP(E81 &amp; Hub!$D$8 &amp; " Curncy", "PR005")/_xll.BDP(E81 &amp; Hub!$D$8 &amp; " Curncy", "DS672")))),0)</f>
        <v>0</v>
      </c>
      <c r="I81" s="71"/>
      <c r="J81" s="279">
        <f>IFERROR(IF(C81=0,0,-PV(DCF!$D$12, C81-YEAR(DCF!$D$10), H81*D81, H81, 0)),"")</f>
        <v>0</v>
      </c>
      <c r="T81" s="279"/>
      <c r="U81" s="279"/>
      <c r="V81" s="272"/>
      <c r="W81" s="272"/>
    </row>
    <row r="82" spans="3:23" x14ac:dyDescent="0.25">
      <c r="C82" s="297" cm="1">
        <f t="array" ref="C82">IFERROR(YEAR(_xll.BDP(B82,"DS035")), 0)</f>
        <v>0</v>
      </c>
      <c r="D82" s="295" cm="1">
        <f t="array" ref="D82">IFERROR(_xll.BDP(B82,"DS033")/100, 0)</f>
        <v>0</v>
      </c>
      <c r="E82" s="295" t="str" cm="1">
        <f t="array" ref="E82">IFERROR(_xll.BDP(B82,"DS004"), 0)</f>
        <v>#N/A Mandatory parameter [SECURITY] cannot be empty</v>
      </c>
      <c r="F82" s="296" cm="1">
        <f t="array" ref="F82">IFERROR(_xll.BDP(B82,"DS021")/1000000, 0)</f>
        <v>0</v>
      </c>
      <c r="G82" s="296" cm="1">
        <f t="array" ref="G82">IFERROR(_xll.BDP(B82,"DS218")/1000000, 0)</f>
        <v>0</v>
      </c>
      <c r="H82" s="296" cm="1">
        <f t="array" ref="H82">IFERROR(IF(E82=Hub!$D$8,F82, F82*((_xll.BDP(E82 &amp; Hub!$D$8 &amp; " Curncy", "PR005")/_xll.BDP(E82 &amp; Hub!$D$8 &amp; " Curncy", "DS672")))),0)</f>
        <v>0</v>
      </c>
      <c r="I82" s="71"/>
      <c r="J82" s="279">
        <f>IFERROR(IF(C82=0,0,-PV(DCF!$D$12, C82-YEAR(DCF!$D$10), H82*D82, H82, 0)),"")</f>
        <v>0</v>
      </c>
      <c r="T82" s="279"/>
      <c r="U82" s="279"/>
      <c r="V82" s="272"/>
      <c r="W82" s="272"/>
    </row>
    <row r="83" spans="3:23" x14ac:dyDescent="0.25">
      <c r="C83" s="297" cm="1">
        <f t="array" ref="C83">IFERROR(YEAR(_xll.BDP(B83,"DS035")), 0)</f>
        <v>0</v>
      </c>
      <c r="D83" s="295" cm="1">
        <f t="array" ref="D83">IFERROR(_xll.BDP(B83,"DS033")/100, 0)</f>
        <v>0</v>
      </c>
      <c r="E83" s="295" t="str" cm="1">
        <f t="array" ref="E83">IFERROR(_xll.BDP(B83,"DS004"), 0)</f>
        <v>#N/A Mandatory parameter [SECURITY] cannot be empty</v>
      </c>
      <c r="F83" s="296" cm="1">
        <f t="array" ref="F83">IFERROR(_xll.BDP(B83,"DS021")/1000000, 0)</f>
        <v>0</v>
      </c>
      <c r="G83" s="296" cm="1">
        <f t="array" ref="G83">IFERROR(_xll.BDP(B83,"DS218")/1000000, 0)</f>
        <v>0</v>
      </c>
      <c r="H83" s="296" cm="1">
        <f t="array" ref="H83">IFERROR(IF(E83=Hub!$D$8,F83, F83*((_xll.BDP(E83 &amp; Hub!$D$8 &amp; " Curncy", "PR005")/_xll.BDP(E83 &amp; Hub!$D$8 &amp; " Curncy", "DS672")))),0)</f>
        <v>0</v>
      </c>
      <c r="I83" s="71"/>
      <c r="J83" s="279">
        <f>IFERROR(IF(C83=0,0,-PV(DCF!$D$12, C83-YEAR(DCF!$D$10), H83*D83, H83, 0)),"")</f>
        <v>0</v>
      </c>
      <c r="T83" s="279"/>
      <c r="U83" s="279"/>
      <c r="V83" s="272"/>
      <c r="W83" s="272"/>
    </row>
    <row r="84" spans="3:23" x14ac:dyDescent="0.25">
      <c r="C84" s="297" cm="1">
        <f t="array" ref="C84">IFERROR(YEAR(_xll.BDP(B84,"DS035")), 0)</f>
        <v>0</v>
      </c>
      <c r="D84" s="295" cm="1">
        <f t="array" ref="D84">IFERROR(_xll.BDP(B84,"DS033")/100, 0)</f>
        <v>0</v>
      </c>
      <c r="E84" s="295" t="str" cm="1">
        <f t="array" ref="E84">IFERROR(_xll.BDP(B84,"DS004"), 0)</f>
        <v>#N/A Mandatory parameter [SECURITY] cannot be empty</v>
      </c>
      <c r="F84" s="296" cm="1">
        <f t="array" ref="F84">IFERROR(_xll.BDP(B84,"DS021")/1000000, 0)</f>
        <v>0</v>
      </c>
      <c r="G84" s="296" cm="1">
        <f t="array" ref="G84">IFERROR(_xll.BDP(B84,"DS218")/1000000, 0)</f>
        <v>0</v>
      </c>
      <c r="H84" s="296" cm="1">
        <f t="array" ref="H84">IFERROR(IF(E84=Hub!$D$8,F84, F84*((_xll.BDP(E84 &amp; Hub!$D$8 &amp; " Curncy", "PR005")/_xll.BDP(E84 &amp; Hub!$D$8 &amp; " Curncy", "DS672")))),0)</f>
        <v>0</v>
      </c>
      <c r="I84" s="71"/>
      <c r="J84" s="279">
        <f>IFERROR(IF(C84=0,0,-PV(DCF!$D$12, C84-YEAR(DCF!$D$10), H84*D84, H84, 0)),"")</f>
        <v>0</v>
      </c>
      <c r="T84" s="279"/>
      <c r="U84" s="279"/>
      <c r="V84" s="272"/>
      <c r="W84" s="272"/>
    </row>
    <row r="85" spans="3:23" x14ac:dyDescent="0.25">
      <c r="C85" s="297" cm="1">
        <f t="array" ref="C85">IFERROR(YEAR(_xll.BDP(B85,"DS035")), 0)</f>
        <v>0</v>
      </c>
      <c r="D85" s="295" cm="1">
        <f t="array" ref="D85">IFERROR(_xll.BDP(B85,"DS033")/100, 0)</f>
        <v>0</v>
      </c>
      <c r="E85" s="295" t="str" cm="1">
        <f t="array" ref="E85">IFERROR(_xll.BDP(B85,"DS004"), 0)</f>
        <v>#N/A Mandatory parameter [SECURITY] cannot be empty</v>
      </c>
      <c r="F85" s="296" cm="1">
        <f t="array" ref="F85">IFERROR(_xll.BDP(B85,"DS021")/1000000, 0)</f>
        <v>0</v>
      </c>
      <c r="G85" s="296" cm="1">
        <f t="array" ref="G85">IFERROR(_xll.BDP(B85,"DS218")/1000000, 0)</f>
        <v>0</v>
      </c>
      <c r="H85" s="296" cm="1">
        <f t="array" ref="H85">IFERROR(IF(E85=Hub!$D$8,F85, F85*((_xll.BDP(E85 &amp; Hub!$D$8 &amp; " Curncy", "PR005")/_xll.BDP(E85 &amp; Hub!$D$8 &amp; " Curncy", "DS672")))),0)</f>
        <v>0</v>
      </c>
      <c r="I85" s="71"/>
      <c r="J85" s="279">
        <f>IFERROR(IF(C85=0,0,-PV(DCF!$D$12, C85-YEAR(DCF!$D$10), H85*D85, H85, 0)),"")</f>
        <v>0</v>
      </c>
      <c r="T85" s="279"/>
      <c r="U85" s="279"/>
      <c r="V85" s="272"/>
      <c r="W85" s="272"/>
    </row>
    <row r="86" spans="3:23" x14ac:dyDescent="0.25">
      <c r="C86" s="297" cm="1">
        <f t="array" ref="C86">IFERROR(YEAR(_xll.BDP(B86,"DS035")), 0)</f>
        <v>0</v>
      </c>
      <c r="D86" s="295" cm="1">
        <f t="array" ref="D86">IFERROR(_xll.BDP(B86,"DS033")/100, 0)</f>
        <v>0</v>
      </c>
      <c r="E86" s="295" t="str" cm="1">
        <f t="array" ref="E86">IFERROR(_xll.BDP(B86,"DS004"), 0)</f>
        <v>#N/A Mandatory parameter [SECURITY] cannot be empty</v>
      </c>
      <c r="F86" s="296" cm="1">
        <f t="array" ref="F86">IFERROR(_xll.BDP(B86,"DS021")/1000000, 0)</f>
        <v>0</v>
      </c>
      <c r="G86" s="296" cm="1">
        <f t="array" ref="G86">IFERROR(_xll.BDP(B86,"DS218")/1000000, 0)</f>
        <v>0</v>
      </c>
      <c r="H86" s="296" cm="1">
        <f t="array" ref="H86">IFERROR(IF(E86=Hub!$D$8,F86, F86*((_xll.BDP(E86 &amp; Hub!$D$8 &amp; " Curncy", "PR005")/_xll.BDP(E86 &amp; Hub!$D$8 &amp; " Curncy", "DS672")))),0)</f>
        <v>0</v>
      </c>
      <c r="I86" s="71"/>
      <c r="J86" s="279">
        <f>IFERROR(IF(C86=0,0,-PV(DCF!$D$12, C86-YEAR(DCF!$D$10), H86*D86, H86, 0)),"")</f>
        <v>0</v>
      </c>
      <c r="T86" s="279"/>
      <c r="U86" s="279"/>
      <c r="V86" s="272"/>
      <c r="W86" s="272"/>
    </row>
    <row r="87" spans="3:23" x14ac:dyDescent="0.25">
      <c r="C87" s="297" cm="1">
        <f t="array" ref="C87">IFERROR(YEAR(_xll.BDP(B87,"DS035")), 0)</f>
        <v>0</v>
      </c>
      <c r="D87" s="295" cm="1">
        <f t="array" ref="D87">IFERROR(_xll.BDP(B87,"DS033")/100, 0)</f>
        <v>0</v>
      </c>
      <c r="E87" s="295" t="str" cm="1">
        <f t="array" ref="E87">IFERROR(_xll.BDP(B87,"DS004"), 0)</f>
        <v>#N/A Mandatory parameter [SECURITY] cannot be empty</v>
      </c>
      <c r="F87" s="296" cm="1">
        <f t="array" ref="F87">IFERROR(_xll.BDP(B87,"DS021")/1000000, 0)</f>
        <v>0</v>
      </c>
      <c r="G87" s="296" cm="1">
        <f t="array" ref="G87">IFERROR(_xll.BDP(B87,"DS218")/1000000, 0)</f>
        <v>0</v>
      </c>
      <c r="H87" s="296" cm="1">
        <f t="array" ref="H87">IFERROR(IF(E87=Hub!$D$8,F87, F87*((_xll.BDP(E87 &amp; Hub!$D$8 &amp; " Curncy", "PR005")/_xll.BDP(E87 &amp; Hub!$D$8 &amp; " Curncy", "DS672")))),0)</f>
        <v>0</v>
      </c>
      <c r="I87" s="71"/>
      <c r="J87" s="279">
        <f>IFERROR(IF(C87=0,0,-PV(DCF!$D$12, C87-YEAR(DCF!$D$10), H87*D87, H87, 0)),"")</f>
        <v>0</v>
      </c>
      <c r="T87" s="279"/>
      <c r="U87" s="279"/>
      <c r="V87" s="272"/>
      <c r="W87" s="272"/>
    </row>
    <row r="88" spans="3:23" x14ac:dyDescent="0.25">
      <c r="C88" s="297" cm="1">
        <f t="array" ref="C88">IFERROR(YEAR(_xll.BDP(B88,"DS035")), 0)</f>
        <v>0</v>
      </c>
      <c r="D88" s="295" cm="1">
        <f t="array" ref="D88">IFERROR(_xll.BDP(B88,"DS033")/100, 0)</f>
        <v>0</v>
      </c>
      <c r="E88" s="295" t="str" cm="1">
        <f t="array" ref="E88">IFERROR(_xll.BDP(B88,"DS004"), 0)</f>
        <v>#N/A Mandatory parameter [SECURITY] cannot be empty</v>
      </c>
      <c r="F88" s="296" cm="1">
        <f t="array" ref="F88">IFERROR(_xll.BDP(B88,"DS021")/1000000, 0)</f>
        <v>0</v>
      </c>
      <c r="G88" s="296" cm="1">
        <f t="array" ref="G88">IFERROR(_xll.BDP(B88,"DS218")/1000000, 0)</f>
        <v>0</v>
      </c>
      <c r="H88" s="296" cm="1">
        <f t="array" ref="H88">IFERROR(IF(E88=Hub!$D$8,F88, F88*((_xll.BDP(E88 &amp; Hub!$D$8 &amp; " Curncy", "PR005")/_xll.BDP(E88 &amp; Hub!$D$8 &amp; " Curncy", "DS672")))),0)</f>
        <v>0</v>
      </c>
      <c r="I88" s="71"/>
      <c r="J88" s="279">
        <f>IFERROR(IF(C88=0,0,-PV(DCF!$D$12, C88-YEAR(DCF!$D$10), H88*D88, H88, 0)),"")</f>
        <v>0</v>
      </c>
      <c r="T88" s="279"/>
      <c r="U88" s="279"/>
      <c r="V88" s="272"/>
      <c r="W88" s="272"/>
    </row>
    <row r="89" spans="3:23" x14ac:dyDescent="0.25">
      <c r="C89" s="297" cm="1">
        <f t="array" ref="C89">IFERROR(YEAR(_xll.BDP(B89,"DS035")), 0)</f>
        <v>0</v>
      </c>
      <c r="D89" s="295" cm="1">
        <f t="array" ref="D89">IFERROR(_xll.BDP(B89,"DS033")/100, 0)</f>
        <v>0</v>
      </c>
      <c r="E89" s="295" t="str" cm="1">
        <f t="array" ref="E89">IFERROR(_xll.BDP(B89,"DS004"), 0)</f>
        <v>#N/A Mandatory parameter [SECURITY] cannot be empty</v>
      </c>
      <c r="F89" s="296" cm="1">
        <f t="array" ref="F89">IFERROR(_xll.BDP(B89,"DS021")/1000000, 0)</f>
        <v>0</v>
      </c>
      <c r="G89" s="296" cm="1">
        <f t="array" ref="G89">IFERROR(_xll.BDP(B89,"DS218")/1000000, 0)</f>
        <v>0</v>
      </c>
      <c r="H89" s="296" cm="1">
        <f t="array" ref="H89">IFERROR(IF(E89=Hub!$D$8,F89, F89*((_xll.BDP(E89 &amp; Hub!$D$8 &amp; " Curncy", "PR005")/_xll.BDP(E89 &amp; Hub!$D$8 &amp; " Curncy", "DS672")))),0)</f>
        <v>0</v>
      </c>
      <c r="I89" s="71"/>
      <c r="J89" s="279">
        <f>IFERROR(IF(C89=0,0,-PV(DCF!$D$12, C89-YEAR(DCF!$D$10), H89*D89, H89, 0)),"")</f>
        <v>0</v>
      </c>
      <c r="T89" s="279"/>
      <c r="U89" s="279"/>
      <c r="V89" s="272"/>
      <c r="W89" s="272"/>
    </row>
    <row r="90" spans="3:23" x14ac:dyDescent="0.25">
      <c r="C90" s="297" cm="1">
        <f t="array" ref="C90">IFERROR(YEAR(_xll.BDP(B90,"DS035")), 0)</f>
        <v>0</v>
      </c>
      <c r="D90" s="295" cm="1">
        <f t="array" ref="D90">IFERROR(_xll.BDP(B90,"DS033")/100, 0)</f>
        <v>0</v>
      </c>
      <c r="E90" s="295" t="str" cm="1">
        <f t="array" ref="E90">IFERROR(_xll.BDP(B90,"DS004"), 0)</f>
        <v>#N/A Mandatory parameter [SECURITY] cannot be empty</v>
      </c>
      <c r="F90" s="296" cm="1">
        <f t="array" ref="F90">IFERROR(_xll.BDP(B90,"DS021")/1000000, 0)</f>
        <v>0</v>
      </c>
      <c r="G90" s="296" cm="1">
        <f t="array" ref="G90">IFERROR(_xll.BDP(B90,"DS218")/1000000, 0)</f>
        <v>0</v>
      </c>
      <c r="H90" s="296" cm="1">
        <f t="array" ref="H90">IFERROR(IF(E90=Hub!$D$8,F90, F90*((_xll.BDP(E90 &amp; Hub!$D$8 &amp; " Curncy", "PR005")/_xll.BDP(E90 &amp; Hub!$D$8 &amp; " Curncy", "DS672")))),0)</f>
        <v>0</v>
      </c>
      <c r="I90" s="71"/>
      <c r="J90" s="279">
        <f>IFERROR(IF(C90=0,0,-PV(DCF!$D$12, C90-YEAR(DCF!$D$10), H90*D90, H90, 0)),"")</f>
        <v>0</v>
      </c>
      <c r="T90" s="279"/>
      <c r="U90" s="279"/>
      <c r="V90" s="272"/>
      <c r="W90" s="272"/>
    </row>
    <row r="91" spans="3:23" x14ac:dyDescent="0.25">
      <c r="C91" s="297" cm="1">
        <f t="array" ref="C91">IFERROR(YEAR(_xll.BDP(B91,"DS035")), 0)</f>
        <v>0</v>
      </c>
      <c r="D91" s="295" cm="1">
        <f t="array" ref="D91">IFERROR(_xll.BDP(B91,"DS033")/100, 0)</f>
        <v>0</v>
      </c>
      <c r="E91" s="295" t="str" cm="1">
        <f t="array" ref="E91">IFERROR(_xll.BDP(B91,"DS004"), 0)</f>
        <v>#N/A Mandatory parameter [SECURITY] cannot be empty</v>
      </c>
      <c r="F91" s="296" cm="1">
        <f t="array" ref="F91">IFERROR(_xll.BDP(B91,"DS021")/1000000, 0)</f>
        <v>0</v>
      </c>
      <c r="G91" s="296" cm="1">
        <f t="array" ref="G91">IFERROR(_xll.BDP(B91,"DS218")/1000000, 0)</f>
        <v>0</v>
      </c>
      <c r="H91" s="296" cm="1">
        <f t="array" ref="H91">IFERROR(IF(E91=Hub!$D$8,F91, F91*((_xll.BDP(E91 &amp; Hub!$D$8 &amp; " Curncy", "PR005")/_xll.BDP(E91 &amp; Hub!$D$8 &amp; " Curncy", "DS672")))),0)</f>
        <v>0</v>
      </c>
      <c r="I91" s="71"/>
      <c r="J91" s="279">
        <f>IFERROR(IF(C91=0,0,-PV(DCF!$D$12, C91-YEAR(DCF!$D$10), H91*D91, H91, 0)),"")</f>
        <v>0</v>
      </c>
      <c r="T91" s="279"/>
      <c r="U91" s="279"/>
      <c r="V91" s="272"/>
      <c r="W91" s="272"/>
    </row>
    <row r="92" spans="3:23" x14ac:dyDescent="0.25">
      <c r="C92" s="297" cm="1">
        <f t="array" ref="C92">IFERROR(YEAR(_xll.BDP(B92,"DS035")), 0)</f>
        <v>0</v>
      </c>
      <c r="D92" s="295" cm="1">
        <f t="array" ref="D92">IFERROR(_xll.BDP(B92,"DS033")/100, 0)</f>
        <v>0</v>
      </c>
      <c r="E92" s="295" t="str" cm="1">
        <f t="array" ref="E92">IFERROR(_xll.BDP(B92,"DS004"), 0)</f>
        <v>#N/A Mandatory parameter [SECURITY] cannot be empty</v>
      </c>
      <c r="F92" s="296" cm="1">
        <f t="array" ref="F92">IFERROR(_xll.BDP(B92,"DS021")/1000000, 0)</f>
        <v>0</v>
      </c>
      <c r="G92" s="296" cm="1">
        <f t="array" ref="G92">IFERROR(_xll.BDP(B92,"DS218")/1000000, 0)</f>
        <v>0</v>
      </c>
      <c r="H92" s="296" cm="1">
        <f t="array" ref="H92">IFERROR(IF(E92=Hub!$D$8,F92, F92*((_xll.BDP(E92 &amp; Hub!$D$8 &amp; " Curncy", "PR005")/_xll.BDP(E92 &amp; Hub!$D$8 &amp; " Curncy", "DS672")))),0)</f>
        <v>0</v>
      </c>
      <c r="I92" s="71"/>
      <c r="J92" s="279">
        <f>IFERROR(IF(C92=0,0,-PV(DCF!$D$12, C92-YEAR(DCF!$D$10), H92*D92, H92, 0)),"")</f>
        <v>0</v>
      </c>
      <c r="T92" s="279"/>
      <c r="U92" s="279"/>
      <c r="V92" s="272"/>
      <c r="W92" s="272"/>
    </row>
    <row r="93" spans="3:23" x14ac:dyDescent="0.25">
      <c r="C93" s="297" cm="1">
        <f t="array" ref="C93">IFERROR(YEAR(_xll.BDP(B93,"DS035")), 0)</f>
        <v>0</v>
      </c>
      <c r="D93" s="295" cm="1">
        <f t="array" ref="D93">IFERROR(_xll.BDP(B93,"DS033")/100, 0)</f>
        <v>0</v>
      </c>
      <c r="E93" s="295" t="str" cm="1">
        <f t="array" ref="E93">IFERROR(_xll.BDP(B93,"DS004"), 0)</f>
        <v>#N/A Mandatory parameter [SECURITY] cannot be empty</v>
      </c>
      <c r="F93" s="296" cm="1">
        <f t="array" ref="F93">IFERROR(_xll.BDP(B93,"DS021")/1000000, 0)</f>
        <v>0</v>
      </c>
      <c r="G93" s="296" cm="1">
        <f t="array" ref="G93">IFERROR(_xll.BDP(B93,"DS218")/1000000, 0)</f>
        <v>0</v>
      </c>
      <c r="H93" s="296" cm="1">
        <f t="array" ref="H93">IFERROR(IF(E93=Hub!$D$8,F93, F93*((_xll.BDP(E93 &amp; Hub!$D$8 &amp; " Curncy", "PR005")/_xll.BDP(E93 &amp; Hub!$D$8 &amp; " Curncy", "DS672")))),0)</f>
        <v>0</v>
      </c>
      <c r="I93" s="71"/>
      <c r="J93" s="279">
        <f>IFERROR(IF(C93=0,0,-PV(DCF!$D$12, C93-YEAR(DCF!$D$10), H93*D93, H93, 0)),"")</f>
        <v>0</v>
      </c>
      <c r="T93" s="279"/>
      <c r="U93" s="279"/>
      <c r="V93" s="272"/>
      <c r="W93" s="272"/>
    </row>
    <row r="94" spans="3:23" x14ac:dyDescent="0.25">
      <c r="C94" s="297" cm="1">
        <f t="array" ref="C94">IFERROR(YEAR(_xll.BDP(B94,"DS035")), 0)</f>
        <v>0</v>
      </c>
      <c r="D94" s="295" cm="1">
        <f t="array" ref="D94">IFERROR(_xll.BDP(B94,"DS033")/100, 0)</f>
        <v>0</v>
      </c>
      <c r="E94" s="295" t="str" cm="1">
        <f t="array" ref="E94">IFERROR(_xll.BDP(B94,"DS004"), 0)</f>
        <v>#N/A Mandatory parameter [SECURITY] cannot be empty</v>
      </c>
      <c r="F94" s="296" cm="1">
        <f t="array" ref="F94">IFERROR(_xll.BDP(B94,"DS021")/1000000, 0)</f>
        <v>0</v>
      </c>
      <c r="G94" s="296" cm="1">
        <f t="array" ref="G94">IFERROR(_xll.BDP(B94,"DS218")/1000000, 0)</f>
        <v>0</v>
      </c>
      <c r="H94" s="296" cm="1">
        <f t="array" ref="H94">IFERROR(IF(E94=Hub!$D$8,F94, F94*((_xll.BDP(E94 &amp; Hub!$D$8 &amp; " Curncy", "PR005")/_xll.BDP(E94 &amp; Hub!$D$8 &amp; " Curncy", "DS672")))),0)</f>
        <v>0</v>
      </c>
      <c r="I94" s="71"/>
      <c r="J94" s="279">
        <f>IFERROR(IF(C94=0,0,-PV(DCF!$D$12, C94-YEAR(DCF!$D$10), H94*D94, H94, 0)),"")</f>
        <v>0</v>
      </c>
      <c r="T94" s="279"/>
      <c r="U94" s="279"/>
      <c r="V94" s="272"/>
      <c r="W94" s="272"/>
    </row>
    <row r="95" spans="3:23" x14ac:dyDescent="0.25">
      <c r="C95" s="297" cm="1">
        <f t="array" ref="C95">IFERROR(YEAR(_xll.BDP(B95,"DS035")), 0)</f>
        <v>0</v>
      </c>
      <c r="D95" s="295" cm="1">
        <f t="array" ref="D95">IFERROR(_xll.BDP(B95,"DS033")/100, 0)</f>
        <v>0</v>
      </c>
      <c r="E95" s="295" t="str" cm="1">
        <f t="array" ref="E95">IFERROR(_xll.BDP(B95,"DS004"), 0)</f>
        <v>#N/A Mandatory parameter [SECURITY] cannot be empty</v>
      </c>
      <c r="F95" s="296" cm="1">
        <f t="array" ref="F95">IFERROR(_xll.BDP(B95,"DS021")/1000000, 0)</f>
        <v>0</v>
      </c>
      <c r="G95" s="296" cm="1">
        <f t="array" ref="G95">IFERROR(_xll.BDP(B95,"DS218")/1000000, 0)</f>
        <v>0</v>
      </c>
      <c r="H95" s="296" cm="1">
        <f t="array" ref="H95">IFERROR(IF(E95=Hub!$D$8,F95, F95*((_xll.BDP(E95 &amp; Hub!$D$8 &amp; " Curncy", "PR005")/_xll.BDP(E95 &amp; Hub!$D$8 &amp; " Curncy", "DS672")))),0)</f>
        <v>0</v>
      </c>
      <c r="I95" s="71"/>
      <c r="J95" s="279">
        <f>IFERROR(IF(C95=0,0,-PV(DCF!$D$12, C95-YEAR(DCF!$D$10), H95*D95, H95, 0)),"")</f>
        <v>0</v>
      </c>
      <c r="T95" s="279"/>
      <c r="U95" s="279"/>
      <c r="V95" s="272"/>
      <c r="W95" s="272"/>
    </row>
    <row r="96" spans="3:23" x14ac:dyDescent="0.25">
      <c r="C96" s="297" cm="1">
        <f t="array" ref="C96">IFERROR(YEAR(_xll.BDP(B96,"DS035")), 0)</f>
        <v>0</v>
      </c>
      <c r="D96" s="295" cm="1">
        <f t="array" ref="D96">IFERROR(_xll.BDP(B96,"DS033")/100, 0)</f>
        <v>0</v>
      </c>
      <c r="E96" s="295" t="str" cm="1">
        <f t="array" ref="E96">IFERROR(_xll.BDP(B96,"DS004"), 0)</f>
        <v>#N/A Mandatory parameter [SECURITY] cannot be empty</v>
      </c>
      <c r="F96" s="296" cm="1">
        <f t="array" ref="F96">IFERROR(_xll.BDP(B96,"DS021")/1000000, 0)</f>
        <v>0</v>
      </c>
      <c r="G96" s="296" cm="1">
        <f t="array" ref="G96">IFERROR(_xll.BDP(B96,"DS218")/1000000, 0)</f>
        <v>0</v>
      </c>
      <c r="H96" s="296" cm="1">
        <f t="array" ref="H96">IFERROR(IF(E96=Hub!$D$8,F96, F96*((_xll.BDP(E96 &amp; Hub!$D$8 &amp; " Curncy", "PR005")/_xll.BDP(E96 &amp; Hub!$D$8 &amp; " Curncy", "DS672")))),0)</f>
        <v>0</v>
      </c>
      <c r="I96" s="71"/>
      <c r="J96" s="279">
        <f>IFERROR(IF(C96=0,0,-PV(DCF!$D$12, C96-YEAR(DCF!$D$10), H96*D96, H96, 0)),"")</f>
        <v>0</v>
      </c>
      <c r="T96" s="279"/>
      <c r="U96" s="279"/>
      <c r="V96" s="272"/>
      <c r="W96" s="272"/>
    </row>
    <row r="97" spans="2:26" x14ac:dyDescent="0.25">
      <c r="C97" s="297" cm="1">
        <f t="array" ref="C97">IFERROR(YEAR(_xll.BDP(B97,"DS035")), 0)</f>
        <v>0</v>
      </c>
      <c r="D97" s="295" cm="1">
        <f t="array" ref="D97">IFERROR(_xll.BDP(B97,"DS033")/100, 0)</f>
        <v>0</v>
      </c>
      <c r="E97" s="295" t="str" cm="1">
        <f t="array" ref="E97">IFERROR(_xll.BDP(B97,"DS004"), 0)</f>
        <v>#N/A Mandatory parameter [SECURITY] cannot be empty</v>
      </c>
      <c r="F97" s="296" cm="1">
        <f t="array" ref="F97">IFERROR(_xll.BDP(B97,"DS021")/1000000, 0)</f>
        <v>0</v>
      </c>
      <c r="G97" s="296" cm="1">
        <f t="array" ref="G97">IFERROR(_xll.BDP(B97,"DS218")/1000000, 0)</f>
        <v>0</v>
      </c>
      <c r="H97" s="296" cm="1">
        <f t="array" ref="H97">IFERROR(IF(E97=Hub!$D$8,F97, F97*((_xll.BDP(E97 &amp; Hub!$D$8 &amp; " Curncy", "PR005")/_xll.BDP(E97 &amp; Hub!$D$8 &amp; " Curncy", "DS672")))),0)</f>
        <v>0</v>
      </c>
      <c r="I97" s="71"/>
      <c r="J97" s="279">
        <f>IFERROR(IF(C97=0,0,-PV(DCF!$D$12, C97-YEAR(DCF!$D$10), H97*D97, H97, 0)),"")</f>
        <v>0</v>
      </c>
      <c r="T97" s="279"/>
      <c r="U97" s="279"/>
      <c r="V97" s="272"/>
      <c r="W97" s="272"/>
    </row>
    <row r="98" spans="2:26" x14ac:dyDescent="0.25">
      <c r="C98" s="297" cm="1">
        <f t="array" ref="C98">IFERROR(YEAR(_xll.BDP(B98,"DS035")), 0)</f>
        <v>0</v>
      </c>
      <c r="D98" s="295" cm="1">
        <f t="array" ref="D98">IFERROR(_xll.BDP(B98,"DS033")/100, 0)</f>
        <v>0</v>
      </c>
      <c r="E98" s="295" t="str" cm="1">
        <f t="array" ref="E98">IFERROR(_xll.BDP(B98,"DS004"), 0)</f>
        <v>#N/A Mandatory parameter [SECURITY] cannot be empty</v>
      </c>
      <c r="F98" s="296" cm="1">
        <f t="array" ref="F98">IFERROR(_xll.BDP(B98,"DS021")/1000000, 0)</f>
        <v>0</v>
      </c>
      <c r="G98" s="296" cm="1">
        <f t="array" ref="G98">IFERROR(_xll.BDP(B98,"DS218")/1000000, 0)</f>
        <v>0</v>
      </c>
      <c r="H98" s="296" cm="1">
        <f t="array" ref="H98">IFERROR(IF(E98=Hub!$D$8,F98, F98*((_xll.BDP(E98 &amp; Hub!$D$8 &amp; " Curncy", "PR005")/_xll.BDP(E98 &amp; Hub!$D$8 &amp; " Curncy", "DS672")))),0)</f>
        <v>0</v>
      </c>
      <c r="I98" s="71"/>
      <c r="J98" s="279">
        <f>IFERROR(IF(C98=0,0,-PV(DCF!$D$12, C98-YEAR(DCF!$D$10), H98*D98, H98, 0)),"")</f>
        <v>0</v>
      </c>
      <c r="T98" s="279"/>
      <c r="U98" s="279"/>
      <c r="V98" s="272"/>
      <c r="W98" s="272"/>
    </row>
    <row r="99" spans="2:26" x14ac:dyDescent="0.25">
      <c r="C99" s="297" cm="1">
        <f t="array" ref="C99">IFERROR(YEAR(_xll.BDP(B99,"DS035")), 0)</f>
        <v>0</v>
      </c>
      <c r="D99" s="295" cm="1">
        <f t="array" ref="D99">IFERROR(_xll.BDP(B99,"DS033")/100, 0)</f>
        <v>0</v>
      </c>
      <c r="E99" s="295" t="str" cm="1">
        <f t="array" ref="E99">IFERROR(_xll.BDP(B99,"DS004"), 0)</f>
        <v>#N/A Mandatory parameter [SECURITY] cannot be empty</v>
      </c>
      <c r="F99" s="296" cm="1">
        <f t="array" ref="F99">IFERROR(_xll.BDP(B99,"DS021")/1000000, 0)</f>
        <v>0</v>
      </c>
      <c r="G99" s="296" cm="1">
        <f t="array" ref="G99">IFERROR(_xll.BDP(B99,"DS218")/1000000, 0)</f>
        <v>0</v>
      </c>
      <c r="H99" s="296" cm="1">
        <f t="array" ref="H99">IFERROR(IF(E99=Hub!$D$8,F99, F99*((_xll.BDP(E99 &amp; Hub!$D$8 &amp; " Curncy", "PR005")/_xll.BDP(E99 &amp; Hub!$D$8 &amp; " Curncy", "DS672")))),0)</f>
        <v>0</v>
      </c>
      <c r="I99" s="71"/>
      <c r="J99" s="279">
        <f>IFERROR(IF(C99=0,0,-PV(DCF!$D$12, C99-YEAR(DCF!$D$10), H99*D99, H99, 0)),"")</f>
        <v>0</v>
      </c>
      <c r="T99" s="279"/>
      <c r="U99" s="279"/>
      <c r="V99" s="272"/>
      <c r="W99" s="272"/>
    </row>
    <row r="100" spans="2:26" x14ac:dyDescent="0.25">
      <c r="C100" s="297" cm="1">
        <f t="array" ref="C100">IFERROR(YEAR(_xll.BDP(B100,"DS035")), 0)</f>
        <v>0</v>
      </c>
      <c r="D100" s="295" cm="1">
        <f t="array" ref="D100">IFERROR(_xll.BDP(B100,"DS033")/100, 0)</f>
        <v>0</v>
      </c>
      <c r="E100" s="295" t="str" cm="1">
        <f t="array" ref="E100">IFERROR(_xll.BDP(B100,"DS004"), 0)</f>
        <v>#N/A Mandatory parameter [SECURITY] cannot be empty</v>
      </c>
      <c r="F100" s="296" cm="1">
        <f t="array" ref="F100">IFERROR(_xll.BDP(B100,"DS021")/1000000, 0)</f>
        <v>0</v>
      </c>
      <c r="G100" s="296" cm="1">
        <f t="array" ref="G100">IFERROR(_xll.BDP(B100,"DS218")/1000000, 0)</f>
        <v>0</v>
      </c>
      <c r="H100" s="296" cm="1">
        <f t="array" ref="H100">IFERROR(IF(E100=Hub!$D$8,F100, F100*((_xll.BDP(E100 &amp; Hub!$D$8 &amp; " Curncy", "PR005")/_xll.BDP(E100 &amp; Hub!$D$8 &amp; " Curncy", "DS672")))),0)</f>
        <v>0</v>
      </c>
      <c r="I100" s="71"/>
      <c r="J100" s="279">
        <f>IFERROR(IF(C100=0,0,-PV(DCF!$D$12, C100-YEAR(DCF!$D$10), H100*D100, H100, 0)),"")</f>
        <v>0</v>
      </c>
      <c r="T100" s="279"/>
      <c r="U100" s="279"/>
      <c r="V100" s="272"/>
      <c r="W100" s="272"/>
    </row>
    <row r="101" spans="2:26" x14ac:dyDescent="0.25">
      <c r="C101" s="297" cm="1">
        <f t="array" ref="C101">IFERROR(YEAR(_xll.BDP(B101,"DS035")), 0)</f>
        <v>0</v>
      </c>
      <c r="D101" s="295" cm="1">
        <f t="array" ref="D101">IFERROR(_xll.BDP(B101,"DS033")/100, 0)</f>
        <v>0</v>
      </c>
      <c r="E101" s="295" t="str" cm="1">
        <f t="array" ref="E101">IFERROR(_xll.BDP(B101,"DS004"), 0)</f>
        <v>#N/A Mandatory parameter [SECURITY] cannot be empty</v>
      </c>
      <c r="F101" s="296" cm="1">
        <f t="array" ref="F101">IFERROR(_xll.BDP(B101,"DS021")/1000000, 0)</f>
        <v>0</v>
      </c>
      <c r="G101" s="296" cm="1">
        <f t="array" ref="G101">IFERROR(_xll.BDP(B101,"DS218")/1000000, 0)</f>
        <v>0</v>
      </c>
      <c r="H101" s="296" cm="1">
        <f t="array" ref="H101">IFERROR(IF(E101=Hub!$D$8,F101, F101*((_xll.BDP(E101 &amp; Hub!$D$8 &amp; " Curncy", "PR005")/_xll.BDP(E101 &amp; Hub!$D$8 &amp; " Curncy", "DS672")))),0)</f>
        <v>0</v>
      </c>
      <c r="I101" s="71"/>
      <c r="J101" s="279">
        <f>IFERROR(IF(C101=0,0,-PV(DCF!$D$12, C101-YEAR(DCF!$D$10), H101*D101, H101, 0)),"")</f>
        <v>0</v>
      </c>
      <c r="T101" s="279"/>
      <c r="U101" s="279"/>
      <c r="V101" s="272"/>
      <c r="W101" s="272"/>
    </row>
    <row r="102" spans="2:26" x14ac:dyDescent="0.25">
      <c r="C102" s="297" cm="1">
        <f t="array" ref="C102">IFERROR(YEAR(_xll.BDP(B102,"DS035")), 0)</f>
        <v>0</v>
      </c>
      <c r="D102" s="295" cm="1">
        <f t="array" ref="D102">IFERROR(_xll.BDP(B102,"DS033")/100, 0)</f>
        <v>0</v>
      </c>
      <c r="E102" s="295" t="str" cm="1">
        <f t="array" ref="E102">IFERROR(_xll.BDP(B102,"DS004"), 0)</f>
        <v>#N/A Mandatory parameter [SECURITY] cannot be empty</v>
      </c>
      <c r="F102" s="296" cm="1">
        <f t="array" ref="F102">IFERROR(_xll.BDP(B102,"DS021")/1000000, 0)</f>
        <v>0</v>
      </c>
      <c r="G102" s="296" cm="1">
        <f t="array" ref="G102">IFERROR(_xll.BDP(B102,"DS218")/1000000, 0)</f>
        <v>0</v>
      </c>
      <c r="H102" s="296" cm="1">
        <f t="array" ref="H102">IFERROR(IF(E102=Hub!$D$8,F102, F102*((_xll.BDP(E102 &amp; Hub!$D$8 &amp; " Curncy", "PR005")/_xll.BDP(E102 &amp; Hub!$D$8 &amp; " Curncy", "DS672")))),0)</f>
        <v>0</v>
      </c>
      <c r="I102" s="71"/>
      <c r="J102" s="279">
        <f>IFERROR(IF(C102=0,0,-PV(DCF!$D$12, C102-YEAR(DCF!$D$10), H102*D102, H102, 0)),"")</f>
        <v>0</v>
      </c>
      <c r="T102" s="279"/>
      <c r="U102" s="279"/>
      <c r="V102" s="272"/>
      <c r="W102" s="272"/>
    </row>
    <row r="103" spans="2:26" x14ac:dyDescent="0.25">
      <c r="C103" s="297" cm="1">
        <f t="array" ref="C103">IFERROR(YEAR(_xll.BDP(B103,"DS035")), 0)</f>
        <v>0</v>
      </c>
      <c r="D103" s="295" cm="1">
        <f t="array" ref="D103">IFERROR(_xll.BDP(B103,"DS033")/100, 0)</f>
        <v>0</v>
      </c>
      <c r="E103" s="295" t="str" cm="1">
        <f t="array" ref="E103">IFERROR(_xll.BDP(B103,"DS004"), 0)</f>
        <v>#N/A Mandatory parameter [SECURITY] cannot be empty</v>
      </c>
      <c r="F103" s="296" cm="1">
        <f t="array" ref="F103">IFERROR(_xll.BDP(B103,"DS021")/1000000, 0)</f>
        <v>0</v>
      </c>
      <c r="G103" s="296" cm="1">
        <f t="array" ref="G103">IFERROR(_xll.BDP(B103,"DS218")/1000000, 0)</f>
        <v>0</v>
      </c>
      <c r="H103" s="296" cm="1">
        <f t="array" ref="H103">IFERROR(IF(E103=Hub!$D$8,F103, F103*((_xll.BDP(E103 &amp; Hub!$D$8 &amp; " Curncy", "PR005")/_xll.BDP(E103 &amp; Hub!$D$8 &amp; " Curncy", "DS672")))),0)</f>
        <v>0</v>
      </c>
      <c r="I103" s="71"/>
      <c r="J103" s="279">
        <f>IFERROR(IF(C103=0,0,-PV(DCF!$D$12, C103-YEAR(DCF!$D$10), H103*D103, H103, 0)),"")</f>
        <v>0</v>
      </c>
      <c r="T103" s="279"/>
      <c r="U103" s="279"/>
      <c r="V103" s="272"/>
      <c r="W103" s="272"/>
    </row>
    <row r="104" spans="2:26" x14ac:dyDescent="0.25">
      <c r="V104" s="272"/>
      <c r="W104" s="272"/>
    </row>
    <row r="105" spans="2:26" x14ac:dyDescent="0.25">
      <c r="B105" s="332"/>
      <c r="C105" s="105"/>
      <c r="D105" s="274">
        <f>SUMPRODUCT(D4:D103,F4:F103)/SUM(F4:F103)</f>
        <v>6.7167218120147087E-2</v>
      </c>
      <c r="E105" s="274"/>
      <c r="F105" s="275">
        <f>SUM(F4:F103)</f>
        <v>6310.8980000000001</v>
      </c>
      <c r="G105" s="275">
        <f>SUM(G4:G103)</f>
        <v>6500</v>
      </c>
      <c r="H105" s="275">
        <f>SUM(H4:H103)</f>
        <v>6310.8980000000001</v>
      </c>
      <c r="I105" s="105"/>
      <c r="J105" s="276">
        <f ca="1">SUM(J4:J103)</f>
        <v>7977.9170138514528</v>
      </c>
      <c r="M105" s="120" t="s">
        <v>238</v>
      </c>
      <c r="N105" s="120"/>
      <c r="O105" s="120"/>
      <c r="P105" s="247"/>
      <c r="Q105" s="120"/>
      <c r="R105" s="277">
        <f>SUM(R4:R103)</f>
        <v>19400.101999999999</v>
      </c>
      <c r="S105" s="120"/>
      <c r="T105" s="278">
        <f ca="1">SUM(T4:T103)</f>
        <v>27215.49180623523</v>
      </c>
      <c r="U105" s="346"/>
      <c r="V105" s="272"/>
      <c r="W105" s="272"/>
    </row>
    <row r="110" spans="2:26" x14ac:dyDescent="0.25">
      <c r="Z110" s="85"/>
    </row>
  </sheetData>
  <phoneticPr fontId="30" type="noConversion"/>
  <conditionalFormatting sqref="AD16">
    <cfRule type="expression" dxfId="1" priority="1">
      <formula>ISNUMBER(SEARCH("Unbalanced", AD16))</formula>
    </cfRule>
    <cfRule type="expression" dxfId="0" priority="2">
      <formula>ISNUMBER(SEARCH("Balanced", AD16))</formula>
    </cfRule>
  </conditionalFormatting>
  <dataValidations disablePrompts="1" count="1">
    <dataValidation type="list" allowBlank="1" showInputMessage="1" showErrorMessage="1" errorTitle="Invalid Input" error="Please only answer &quot;Yes&quot; or &quot;No&quot; to this question" sqref="Q4:Q5 Q7:Q23 Q105" xr:uid="{32F98EB2-1796-407D-BA75-67E9FA382B64}">
      <formula1>"Yes,No"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49" r:id="rId4" name="Button 1">
              <controlPr defaultSize="0" print="0" autoFill="0" autoPict="0" macro="[0]!BacktoHub">
                <anchor moveWithCells="1" sizeWithCells="1">
                  <from>
                    <xdr:col>23</xdr:col>
                    <xdr:colOff>171450</xdr:colOff>
                    <xdr:row>15</xdr:row>
                    <xdr:rowOff>142875</xdr:rowOff>
                  </from>
                  <to>
                    <xdr:col>23</xdr:col>
                    <xdr:colOff>1362075</xdr:colOff>
                    <xdr:row>18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2B2197-6C70-418C-B290-BD7139F81C07}">
  <sheetPr>
    <tabColor rgb="FF0070C0"/>
  </sheetPr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7D38B8-EFDD-41DE-AE9D-43E92D44B97E}">
  <dimension ref="B2:O109"/>
  <sheetViews>
    <sheetView workbookViewId="0">
      <selection activeCell="M23" sqref="M23"/>
    </sheetView>
  </sheetViews>
  <sheetFormatPr defaultRowHeight="15" x14ac:dyDescent="0.25"/>
  <cols>
    <col min="2" max="2" width="8.28515625" bestFit="1" customWidth="1"/>
    <col min="3" max="3" width="12.85546875" bestFit="1" customWidth="1"/>
    <col min="4" max="4" width="19.85546875" bestFit="1" customWidth="1"/>
    <col min="5" max="5" width="29.42578125" bestFit="1" customWidth="1"/>
    <col min="6" max="6" width="10.85546875" bestFit="1" customWidth="1"/>
    <col min="7" max="7" width="11.140625" bestFit="1" customWidth="1"/>
    <col min="8" max="8" width="15.85546875" bestFit="1" customWidth="1"/>
    <col min="9" max="9" width="9.5703125" bestFit="1" customWidth="1"/>
    <col min="10" max="10" width="8.5703125" bestFit="1" customWidth="1"/>
    <col min="11" max="11" width="11.28515625" bestFit="1" customWidth="1"/>
    <col min="12" max="12" width="11" customWidth="1"/>
    <col min="13" max="13" width="8.7109375" bestFit="1" customWidth="1"/>
    <col min="14" max="15" width="11" bestFit="1" customWidth="1"/>
  </cols>
  <sheetData>
    <row r="2" spans="2:15" x14ac:dyDescent="0.25">
      <c r="D2" s="146" t="s">
        <v>385</v>
      </c>
      <c r="E2" s="146" t="s">
        <v>386</v>
      </c>
      <c r="F2" s="146" t="s">
        <v>387</v>
      </c>
      <c r="G2" s="146" t="s">
        <v>147</v>
      </c>
      <c r="H2" s="323" t="s">
        <v>394</v>
      </c>
      <c r="I2" s="323" t="s">
        <v>83</v>
      </c>
      <c r="J2" s="146" t="s">
        <v>288</v>
      </c>
      <c r="K2" s="146" t="s">
        <v>388</v>
      </c>
      <c r="L2" s="146" t="s">
        <v>389</v>
      </c>
      <c r="M2" s="146" t="s">
        <v>396</v>
      </c>
      <c r="N2" s="146" t="s">
        <v>390</v>
      </c>
      <c r="O2" s="146" t="s">
        <v>391</v>
      </c>
    </row>
    <row r="4" spans="2:15" x14ac:dyDescent="0.25">
      <c r="B4" s="3" t="s">
        <v>392</v>
      </c>
      <c r="C4" s="3"/>
      <c r="D4" s="3"/>
      <c r="E4" s="3"/>
      <c r="F4" s="319">
        <f>AVERAGE(F9:F1002)</f>
        <v>54.467692307692303</v>
      </c>
      <c r="G4" s="319">
        <f t="shared" ref="G4:O4" si="0">AVERAGE(G9:G1002)</f>
        <v>8548.8760784592305</v>
      </c>
      <c r="H4" s="319">
        <f t="shared" ref="H4" si="1">AVERAGE(H9:H1002)</f>
        <v>16983.430921854615</v>
      </c>
      <c r="I4" s="319">
        <f t="shared" si="0"/>
        <v>4509.0444615384613</v>
      </c>
      <c r="J4" s="319">
        <f t="shared" si="0"/>
        <v>1107.2355384615382</v>
      </c>
      <c r="K4" s="319">
        <f t="shared" si="0"/>
        <v>311.58795917777968</v>
      </c>
      <c r="L4" s="319">
        <f t="shared" si="0"/>
        <v>74.246879415958972</v>
      </c>
      <c r="M4" s="319">
        <f t="shared" ref="M4" si="2">AVERAGE(M9:M1002)</f>
        <v>3.2544111265311932</v>
      </c>
      <c r="N4" s="319">
        <f t="shared" si="0"/>
        <v>5.433245031743188</v>
      </c>
      <c r="O4" s="319">
        <f t="shared" si="0"/>
        <v>29.35042073285242</v>
      </c>
    </row>
    <row r="5" spans="2:15" x14ac:dyDescent="0.25">
      <c r="B5" s="3" t="s">
        <v>393</v>
      </c>
      <c r="C5" s="3"/>
      <c r="D5" s="3"/>
      <c r="E5" s="3"/>
      <c r="F5" s="320">
        <f>_xlfn.QUARTILE.INC(F9:F1002,2)</f>
        <v>45.37</v>
      </c>
      <c r="G5" s="320">
        <f t="shared" ref="G5:O5" si="3">_xlfn.QUARTILE.INC(G9:G1002,2)</f>
        <v>6229.1196610299994</v>
      </c>
      <c r="H5" s="320">
        <f t="shared" ref="H5" si="4">_xlfn.QUARTILE.INC(H9:H1002,2)</f>
        <v>12665.1</v>
      </c>
      <c r="I5" s="320">
        <f t="shared" si="3"/>
        <v>2902</v>
      </c>
      <c r="J5" s="320">
        <f t="shared" si="3"/>
        <v>698.59899999999993</v>
      </c>
      <c r="K5" s="320">
        <f t="shared" si="3"/>
        <v>201.26504</v>
      </c>
      <c r="L5" s="320">
        <f t="shared" si="3"/>
        <v>10.491307949580426</v>
      </c>
      <c r="M5" s="320">
        <f t="shared" ref="M5" si="5">_xlfn.QUARTILE.INC(M9:M1002,2)</f>
        <v>2.6164518757830484</v>
      </c>
      <c r="N5" s="320">
        <f t="shared" si="3"/>
        <v>4.1380400421496315</v>
      </c>
      <c r="O5" s="320">
        <f t="shared" si="3"/>
        <v>22.554732775273667</v>
      </c>
    </row>
    <row r="6" spans="2:15" x14ac:dyDescent="0.25">
      <c r="F6" s="234"/>
      <c r="G6" s="234"/>
      <c r="H6" s="234"/>
      <c r="I6" s="234"/>
      <c r="J6" s="234"/>
      <c r="K6" s="234"/>
      <c r="L6" s="234"/>
      <c r="M6" s="234"/>
      <c r="N6" s="234"/>
      <c r="O6" s="234"/>
    </row>
    <row r="7" spans="2:15" ht="15" customHeight="1" x14ac:dyDescent="0.25">
      <c r="C7" s="66"/>
      <c r="D7" s="321" t="str">
        <f>Hub!D4</f>
        <v>CZR US EQUITY</v>
      </c>
      <c r="E7" s="317" t="str" cm="1">
        <f t="array" ref="E7">IFERROR(IF(_xll.BDP($D7, "DS002")="#N/A Invalid Security", "", _xll.BDP($D7, "DS002")),"")</f>
        <v>CAESARS ENTERTAINMENT INC</v>
      </c>
      <c r="F7" s="318" cm="1">
        <f t="array" ref="F7">IFERROR(IF(_xll.BDP($D7, "PR005")="#N/A Invalid Security", "", _xll.BDP($D7, "PR005")),"")</f>
        <v>36.86</v>
      </c>
      <c r="G7" s="318" cm="1">
        <f t="array" ref="G7">IFERROR(IF(_xll.BDP($D7, "RR902")="#N/A Invalid Security", "", _xll.BDP($D7, "RR902")/1000000),"")</f>
        <v>7977.07665696</v>
      </c>
      <c r="H7" s="304" cm="1">
        <f t="array" ref="H7">IFERROR(IF(_xll.BDP($D7, "RR472")="#N/A Invalid Security", "", _xll.BDP($D7, "RR472")),"")</f>
        <v>33963.839999999997</v>
      </c>
      <c r="I7" s="318" cm="1">
        <f t="array" ref="I7">IFERROR(IF(_xll.BDP($D7, "IS010")="#N/A Invalid Security", "", _xll.BDP($D7, "IS010")),"")</f>
        <v>11528</v>
      </c>
      <c r="J7" s="322" cm="1">
        <f t="array" ref="J7">IFERROR(IF(_xll.BDP($D7, "RR009")="#N/A Invalid Security", "", _xll.BDP($D7, "RR009")),"")</f>
        <v>3829</v>
      </c>
      <c r="K7" s="318" cm="1">
        <f t="array" ref="K7">IFERROR(IF(_xll.BDP($D7, "IS810")="#N/A Invalid Security", "", _xll.BDP($D7, "IS810")),"")</f>
        <v>1008.78</v>
      </c>
      <c r="L7" s="302" cm="1">
        <f t="array" ref="L7">IFERROR(IF(_xll.BDP($D7, "RR957")="#N/A Invalid Security", "", _xll.BDP($D7, "RR957")),"")</f>
        <v>8.9217673412850083</v>
      </c>
      <c r="M7" s="302" cm="1">
        <f t="array" ref="M7">IFERROR(IF(_xll.BDP($D7, "RR956")="#N/A Invalid Security", "", _xll.BDP($D7, "RR956")),"")</f>
        <v>2.8403039035804198</v>
      </c>
      <c r="N7" s="318" cm="1">
        <f t="array" ref="N7">IFERROR(IF(_xll.BDP($D7, "RR052")="#N/A Invalid Security", "", _xll.BDP($D7, "RR052")),"")</f>
        <v>6.8802855573860517</v>
      </c>
      <c r="O7" s="318" cm="1">
        <f t="array" ref="O7">IFERROR(IF(_xll.BDP($D7, "BE051")="#N/A Invalid Security", "", _xll.BDP($D7, "BE051")),"")</f>
        <v>44.73300970873786</v>
      </c>
    </row>
    <row r="8" spans="2:15" x14ac:dyDescent="0.25">
      <c r="C8" s="66"/>
      <c r="D8" s="66"/>
      <c r="E8" s="317"/>
      <c r="F8" s="318"/>
      <c r="G8" s="318"/>
      <c r="H8" s="304"/>
      <c r="I8" s="318"/>
      <c r="J8" s="322"/>
      <c r="K8" s="318"/>
      <c r="L8" s="302"/>
      <c r="M8" s="302"/>
      <c r="N8" s="318"/>
      <c r="O8" s="318"/>
    </row>
    <row r="9" spans="2:15" ht="15" customHeight="1" x14ac:dyDescent="0.25">
      <c r="C9" s="317" t="str">
        <f>_xll.BDS(Hub!D4, "DY785","cols=1;rows=13")</f>
        <v>LVS US</v>
      </c>
      <c r="D9" s="317" t="str">
        <f>IF(C9="", "", C9 &amp; " EQUITY")</f>
        <v>LVS US EQUITY</v>
      </c>
      <c r="E9" s="317" t="str" cm="1">
        <f t="array" ref="E9">IFERROR(IF(_xll.BDP($D9, "DS002")="#N/A Invalid Security", "", _xll.BDP($D9, "DS002")),"")</f>
        <v>LAS VEGAS SANDS CORP</v>
      </c>
      <c r="F9" s="318" cm="1">
        <f t="array" ref="F9">IFERROR(IF(_xll.BDP($D9, "PR005")="#N/A Invalid Security", "", _xll.BDP($D9, "PR005")),"")</f>
        <v>41.07</v>
      </c>
      <c r="G9" s="318" cm="1">
        <f t="array" ref="G9">IFERROR(IF(_xll.BDP($D9, "RR902")="#N/A Invalid Security", "", _xll.BDP($D9, "RR902")/1000000),"")</f>
        <v>30599.086450500003</v>
      </c>
      <c r="H9" s="304" cm="1">
        <f t="array" ref="H9">IFERROR(IF(_xll.BDP($D9, "RR472")="#N/A Invalid Security", "", _xll.BDP($D9, "RR472")),"")</f>
        <v>47589.5</v>
      </c>
      <c r="I9" s="318" cm="1">
        <f t="array" ref="I9">IFERROR(IF(_xll.BDP($D9, "IS010")="#N/A Invalid Security", "", _xll.BDP($D9, "IS010")),"")</f>
        <v>10372</v>
      </c>
      <c r="J9" s="322" cm="1">
        <f t="array" ref="J9">IFERROR(IF(_xll.BDP($D9, "RR009")="#N/A Invalid Security", "", _xll.BDP($D9, "RR009")),"")</f>
        <v>3535</v>
      </c>
      <c r="K9" s="318" cm="1">
        <f t="array" ref="K9">IFERROR(IF(_xll.BDP($D9, "IS810")="#N/A Invalid Security", "", _xll.BDP($D9, "IS810")),"")</f>
        <v>1426.3490196078401</v>
      </c>
      <c r="L9" s="302" cm="1">
        <f t="array" ref="L9">IFERROR(IF(_xll.BDP($D9, "RR957")="#N/A Invalid Security", "", _xll.BDP($D9, "RR957")),"")</f>
        <v>10.156704160394266</v>
      </c>
      <c r="M9" s="302" cm="1">
        <f t="array" ref="M9">IFERROR(IF(_xll.BDP($D9, "RR956")="#N/A Invalid Security", "", _xll.BDP($D9, "RR956")),"")</f>
        <v>3.5386750914726615</v>
      </c>
      <c r="N9" s="318" cm="1">
        <f t="array" ref="N9">IFERROR(IF(_xll.BDP($D9, "RR052")="#N/A Invalid Security", "", _xll.BDP($D9, "RR052")),"")</f>
        <v>3.573220686123912</v>
      </c>
      <c r="O9" s="318" cm="1">
        <f t="array" ref="O9">IFERROR(IF(_xll.BDP($D9, "BE051")="#N/A Invalid Security", "", _xll.BDP($D9, "BE051")),"")</f>
        <v>16.811297584936554</v>
      </c>
    </row>
    <row r="10" spans="2:15" x14ac:dyDescent="0.25">
      <c r="C10" s="66" t="s">
        <v>477</v>
      </c>
      <c r="D10" s="317" t="str">
        <f t="shared" ref="D10:D73" si="6">IF(C10="", "", C10 &amp; " EQUITY")</f>
        <v>BYD US EQUITY</v>
      </c>
      <c r="E10" s="317" t="str" cm="1">
        <f t="array" ref="E10">IFERROR(IF(_xll.BDP(D10, "DS002")="#N/A Invalid Security", "", _xll.BDP(D10, "DS002")),"")</f>
        <v>BOYD GAMING CORP</v>
      </c>
      <c r="F10" s="318" cm="1">
        <f t="array" ref="F10">IFERROR(IF(_xll.BDP($D10, "PR005")="#N/A Invalid Security", "", _xll.BDP($D10, "PR005")),"")</f>
        <v>59.12</v>
      </c>
      <c r="G10" s="318" cm="1">
        <f t="array" ref="G10">IFERROR(IF(_xll.BDP($D10, "RR902")="#N/A Invalid Security", "", _xll.BDP($D10, "RR902")/1000000),"")</f>
        <v>5609.1403004800004</v>
      </c>
      <c r="H10" s="304" cm="1">
        <f t="array" ref="H10">IFERROR(IF(_xll.BDP($D10, "RR472")="#N/A Invalid Security", "", _xll.BDP($D10, "RR472")),"")</f>
        <v>9803.7024275199983</v>
      </c>
      <c r="I10" s="318" cm="1">
        <f t="array" ref="I10">IFERROR(IF(_xll.BDP($D10, "IS010")="#N/A Invalid Security", "", _xll.BDP($D10, "IS010")),"")</f>
        <v>3738.4920000000002</v>
      </c>
      <c r="J10" s="322" cm="1">
        <f t="array" ref="J10">IFERROR(IF(_xll.BDP($D10, "RR009")="#N/A Invalid Security", "", _xll.BDP($D10, "RR009")),"")</f>
        <v>1319.8009999999999</v>
      </c>
      <c r="K10" s="318" cm="1">
        <f t="array" ref="K10">IFERROR(IF(_xll.BDP($D10, "IS810")="#N/A Invalid Security", "", _xll.BDP($D10, "IS810")),"")</f>
        <v>669.85200768094899</v>
      </c>
      <c r="L10" s="302" cm="1">
        <f t="array" ref="L10">IFERROR(IF(_xll.BDP($D10, "RR957")="#N/A Invalid Security", "", _xll.BDP($D10, "RR957")),"")</f>
        <v>8.2138928435498464</v>
      </c>
      <c r="M10" s="302" cm="1">
        <f t="array" ref="M10">IFERROR(IF(_xll.BDP($D10, "RR956")="#N/A Invalid Security", "", _xll.BDP($D10, "RR956")),"")</f>
        <v>2.4068932199460948</v>
      </c>
      <c r="N10" s="318" cm="1">
        <f t="array" ref="N10">IFERROR(IF(_xll.BDP($D10, "RR052")="#N/A Invalid Security", "", _xll.BDP($D10, "RR052")),"")</f>
        <v>3.3479803009675915</v>
      </c>
      <c r="O10" s="318" cm="1">
        <f t="array" ref="O10">IFERROR(IF(_xll.BDP($D10, "BE051")="#N/A Invalid Security", "", _xll.BDP($D10, "BE051")),"")</f>
        <v>9.4880436527042207</v>
      </c>
    </row>
    <row r="11" spans="2:15" ht="15" customHeight="1" x14ac:dyDescent="0.25">
      <c r="C11" s="66" t="s">
        <v>478</v>
      </c>
      <c r="D11" s="317" t="str">
        <f t="shared" si="6"/>
        <v>PENN US EQUITY</v>
      </c>
      <c r="E11" s="317" t="str" cm="1">
        <f t="array" ref="E11">IFERROR(IF(_xll.BDP(D11, "DS002")="#N/A Invalid Security", "", _xll.BDP(D11, "DS002")),"")</f>
        <v>PENN ENTERTAINMENT INC</v>
      </c>
      <c r="F11" s="318" cm="1">
        <f t="array" ref="F11">IFERROR(IF(_xll.BDP($D11, "PR005")="#N/A Invalid Security", "", _xll.BDP($D11, "PR005")),"")</f>
        <v>18.52</v>
      </c>
      <c r="G11" s="318" cm="1">
        <f t="array" ref="G11">IFERROR(IF(_xll.BDP($D11, "RR902")="#N/A Invalid Security", "", _xll.BDP($D11, "RR902")/1000000),"")</f>
        <v>2823.30101268</v>
      </c>
      <c r="H11" s="304" cm="1">
        <f t="array" ref="H11">IFERROR(IF(_xll.BDP($D11, "RR472")="#N/A Invalid Security", "", _xll.BDP($D11, "RR472")),"")</f>
        <v>13319.513497589996</v>
      </c>
      <c r="I11" s="318" cm="1">
        <f t="array" ref="I11">IFERROR(IF(_xll.BDP($D11, "IS010")="#N/A Invalid Security", "", _xll.BDP($D11, "IS010")),"")</f>
        <v>6362.9</v>
      </c>
      <c r="J11" s="322" cm="1">
        <f t="array" ref="J11">IFERROR(IF(_xll.BDP($D11, "RR009")="#N/A Invalid Security", "", _xll.BDP($D11, "RR009")),"")</f>
        <v>-232.70000000000016</v>
      </c>
      <c r="K11" s="318" cm="1">
        <f t="array" ref="K11">IFERROR(IF(_xll.BDP($D11, "IS810")="#N/A Invalid Security", "", _xll.BDP($D11, "IS810")),"")</f>
        <v>-104.79599999999999</v>
      </c>
      <c r="L11" s="302" t="str" cm="1">
        <f t="array" ref="L11">IFERROR(IF(_xll.BDP($D11, "RR957")="#N/A Invalid Security", "", _xll.BDP($D11, "RR957")),"")</f>
        <v>#N/A N/A</v>
      </c>
      <c r="M11" s="302" cm="1">
        <f t="array" ref="M11">IFERROR(IF(_xll.BDP($D11, "RR956")="#N/A Invalid Security", "", _xll.BDP($D11, "RR956")),"")</f>
        <v>2.1229414774366706</v>
      </c>
      <c r="N11" s="318" t="str" cm="1">
        <f t="array" ref="N11">IFERROR(IF(_xll.BDP($D11, "RR052")="#N/A Invalid Security", "", _xll.BDP($D11, "RR052")),"")</f>
        <v>#N/A N/A</v>
      </c>
      <c r="O11" s="318" t="str" cm="1">
        <f t="array" ref="O11">IFERROR(IF(_xll.BDP($D11, "BE051")="#N/A Invalid Security", "", _xll.BDP($D11, "BE051")),"")</f>
        <v>#N/A N/A</v>
      </c>
    </row>
    <row r="12" spans="2:15" x14ac:dyDescent="0.25">
      <c r="C12" s="66" t="s">
        <v>479</v>
      </c>
      <c r="D12" s="317" t="str">
        <f t="shared" si="6"/>
        <v>WYNN US EQUITY</v>
      </c>
      <c r="E12" s="317" t="str" cm="1">
        <f t="array" ref="E12">IFERROR(IF(_xll.BDP(D12, "DS002")="#N/A Invalid Security", "", _xll.BDP(D12, "DS002")),"")</f>
        <v>WYNN RESORTS LTD</v>
      </c>
      <c r="F12" s="318" cm="1">
        <f t="array" ref="F12">IFERROR(IF(_xll.BDP($D12, "PR005")="#N/A Invalid Security", "", _xll.BDP($D12, "PR005")),"")</f>
        <v>83.43</v>
      </c>
      <c r="G12" s="318" cm="1">
        <f t="array" ref="G12">IFERROR(IF(_xll.BDP($D12, "RR902")="#N/A Invalid Security", "", _xll.BDP($D12, "RR902")/1000000),"")</f>
        <v>9350.0719332299996</v>
      </c>
      <c r="H12" s="304" cm="1">
        <f t="array" ref="H12">IFERROR(IF(_xll.BDP($D12, "RR472")="#N/A Invalid Security", "", _xll.BDP($D12, "RR472")),"")</f>
        <v>20225.324562270001</v>
      </c>
      <c r="I12" s="318" cm="1">
        <f t="array" ref="I12">IFERROR(IF(_xll.BDP($D12, "IS010")="#N/A Invalid Security", "", _xll.BDP($D12, "IS010")),"")</f>
        <v>6531.8969999999999</v>
      </c>
      <c r="J12" s="322" cm="1">
        <f t="array" ref="J12">IFERROR(IF(_xll.BDP($D12, "RR009")="#N/A Invalid Security", "", _xll.BDP($D12, "RR009")),"")</f>
        <v>1686.336</v>
      </c>
      <c r="K12" s="318" cm="1">
        <f t="array" ref="K12">IFERROR(IF(_xll.BDP($D12, "IS810")="#N/A Invalid Security", "", _xll.BDP($D12, "IS810")),"")</f>
        <v>935.91225193970195</v>
      </c>
      <c r="L12" s="302" cm="1">
        <f t="array" ref="L12">IFERROR(IF(_xll.BDP($D12, "RR957")="#N/A Invalid Security", "", _xll.BDP($D12, "RR957")),"")</f>
        <v>10.491307949580426</v>
      </c>
      <c r="M12" s="302" cm="1">
        <f t="array" ref="M12">IFERROR(IF(_xll.BDP($D12, "RR956")="#N/A Invalid Security", "", _xll.BDP($D12, "RR956")),"")</f>
        <v>2.5990579332767858</v>
      </c>
      <c r="N12" s="318" cm="1">
        <f t="array" ref="N12">IFERROR(IF(_xll.BDP($D12, "RR052")="#N/A Invalid Security", "", _xll.BDP($D12, "RR052")),"")</f>
        <v>7.4387621685848426</v>
      </c>
      <c r="O12" s="318" cm="1">
        <f t="array" ref="O12">IFERROR(IF(_xll.BDP($D12, "BE051")="#N/A Invalid Security", "", _xll.BDP($D12, "BE051")),"")</f>
        <v>15.316688085184506</v>
      </c>
    </row>
    <row r="13" spans="2:15" x14ac:dyDescent="0.25">
      <c r="C13" s="66" t="s">
        <v>480</v>
      </c>
      <c r="D13" s="317" t="str">
        <f t="shared" si="6"/>
        <v>MGM US EQUITY</v>
      </c>
      <c r="E13" s="317" t="str" cm="1">
        <f t="array" ref="E13">IFERROR(IF(_xll.BDP(D13, "DS002")="#N/A Invalid Security", "", _xll.BDP(D13, "DS002")),"")</f>
        <v>MGM RESORTS INTERNATIONAL</v>
      </c>
      <c r="F13" s="318" cm="1">
        <f t="array" ref="F13">IFERROR(IF(_xll.BDP($D13, "PR005")="#N/A Invalid Security", "", _xll.BDP($D13, "PR005")),"")</f>
        <v>45.37</v>
      </c>
      <c r="G13" s="318" cm="1">
        <f t="array" ref="G13">IFERROR(IF(_xll.BDP($D13, "RR902")="#N/A Invalid Security", "", _xll.BDP($D13, "RR902")/1000000),"")</f>
        <v>14231.681335949999</v>
      </c>
      <c r="H13" s="304" cm="1">
        <f t="array" ref="H13">IFERROR(IF(_xll.BDP($D13, "RR472")="#N/A Invalid Security", "", _xll.BDP($D13, "RR472")),"")</f>
        <v>44263.283699339998</v>
      </c>
      <c r="I13" s="318" cm="1">
        <f t="array" ref="I13">IFERROR(IF(_xll.BDP($D13, "IS010")="#N/A Invalid Security", "", _xll.BDP($D13, "IS010")),"")</f>
        <v>16164.249</v>
      </c>
      <c r="J13" s="322" cm="1">
        <f t="array" ref="J13">IFERROR(IF(_xll.BDP($D13, "RR009")="#N/A Invalid Security", "", _xll.BDP($D13, "RR009")),"")</f>
        <v>5012.2649999999994</v>
      </c>
      <c r="K13" s="318" cm="1">
        <f t="array" ref="K13">IFERROR(IF(_xll.BDP($D13, "IS810")="#N/A Invalid Security", "", _xll.BDP($D13, "IS810")),"")</f>
        <v>1372.14688</v>
      </c>
      <c r="L13" s="302" cm="1">
        <f t="array" ref="L13">IFERROR(IF(_xll.BDP($D13, "RR957")="#N/A Invalid Security", "", _xll.BDP($D13, "RR957")),"")</f>
        <v>9.2298469871816575</v>
      </c>
      <c r="M13" s="302" cm="1">
        <f t="array" ref="M13">IFERROR(IF(_xll.BDP($D13, "RR956")="#N/A Invalid Security", "", _xll.BDP($D13, "RR956")),"")</f>
        <v>2.6164518757830484</v>
      </c>
      <c r="N13" s="318" cm="1">
        <f t="array" ref="N13">IFERROR(IF(_xll.BDP($D13, "RR052")="#N/A Invalid Security", "", _xll.BDP($D13, "RR052")),"")</f>
        <v>6.6674089557038352</v>
      </c>
      <c r="O13" s="318" cm="1">
        <f t="array" ref="O13">IFERROR(IF(_xll.BDP($D13, "BE051")="#N/A Invalid Security", "", _xll.BDP($D13, "BE051")),"")</f>
        <v>16.215153681200857</v>
      </c>
    </row>
    <row r="14" spans="2:15" x14ac:dyDescent="0.25">
      <c r="C14" s="66" t="s">
        <v>481</v>
      </c>
      <c r="D14" s="317" t="str">
        <f t="shared" si="6"/>
        <v>CHDN US EQUITY</v>
      </c>
      <c r="E14" s="317" t="str" cm="1">
        <f t="array" ref="E14">IFERROR(IF(_xll.BDP(D14, "DS002")="#N/A Invalid Security", "", _xll.BDP(D14, "DS002")),"")</f>
        <v>CHURCHILL DOWNS INC</v>
      </c>
      <c r="F14" s="318" cm="1">
        <f t="array" ref="F14">IFERROR(IF(_xll.BDP($D14, "PR005")="#N/A Invalid Security", "", _xll.BDP($D14, "PR005")),"")</f>
        <v>140.11000000000001</v>
      </c>
      <c r="G14" s="318" cm="1">
        <f t="array" ref="G14">IFERROR(IF(_xll.BDP($D14, "RR902")="#N/A Invalid Security", "", _xll.BDP($D14, "RR902")/1000000),"")</f>
        <v>10298.776863180001</v>
      </c>
      <c r="H14" s="304" cm="1">
        <f t="array" ref="H14">IFERROR(IF(_xll.BDP($D14, "RR472")="#N/A Invalid Security", "", _xll.BDP($D14, "RR472")),"")</f>
        <v>13947.375</v>
      </c>
      <c r="I14" s="318" cm="1">
        <f t="array" ref="I14">IFERROR(IF(_xll.BDP($D14, "IS010")="#N/A Invalid Security", "", _xll.BDP($D14, "IS010")),"")</f>
        <v>2461.6999999999998</v>
      </c>
      <c r="J14" s="322" cm="1">
        <f t="array" ref="J14">IFERROR(IF(_xll.BDP($D14, "RR009")="#N/A Invalid Security", "", _xll.BDP($D14, "RR009")),"")</f>
        <v>740.4</v>
      </c>
      <c r="K14" s="318" cm="1">
        <f t="array" ref="K14">IFERROR(IF(_xll.BDP($D14, "IS810")="#N/A Invalid Security", "", _xll.BDP($D14, "IS810")),"")</f>
        <v>380.43719008264497</v>
      </c>
      <c r="L14" s="302" cm="1">
        <f t="array" ref="L14">IFERROR(IF(_xll.BDP($D14, "RR957")="#N/A Invalid Security", "", _xll.BDP($D14, "RR957")),"")</f>
        <v>20.144677796873331</v>
      </c>
      <c r="M14" s="302" cm="1">
        <f t="array" ref="M14">IFERROR(IF(_xll.BDP($D14, "RR956")="#N/A Invalid Security", "", _xll.BDP($D14, "RR956")),"")</f>
        <v>6.0472010200874422</v>
      </c>
      <c r="N14" s="318" cm="1">
        <f t="array" ref="N14">IFERROR(IF(_xll.BDP($D14, "RR052")="#N/A Invalid Security", "", _xll.BDP($D14, "RR052")),"")</f>
        <v>6.5832442544094061</v>
      </c>
      <c r="O14" s="318" cm="1">
        <f t="array" ref="O14">IFERROR(IF(_xll.BDP($D14, "BE051")="#N/A Invalid Security", "", _xll.BDP($D14, "BE051")),"")</f>
        <v>22.554732775273667</v>
      </c>
    </row>
    <row r="15" spans="2:15" x14ac:dyDescent="0.25">
      <c r="C15" s="66" t="s">
        <v>482</v>
      </c>
      <c r="D15" s="317" t="str">
        <f t="shared" si="6"/>
        <v>RRR US EQUITY</v>
      </c>
      <c r="E15" s="317" t="str" cm="1">
        <f t="array" ref="E15">IFERROR(IF(_xll.BDP(D15, "DS002")="#N/A Invalid Security", "", _xll.BDP(D15, "DS002")),"")</f>
        <v>RED ROCK RESORTS INC-CLASS A</v>
      </c>
      <c r="F15" s="318" cm="1">
        <f t="array" ref="F15">IFERROR(IF(_xll.BDP($D15, "PR005")="#N/A Invalid Security", "", _xll.BDP($D15, "PR005")),"")</f>
        <v>58.99</v>
      </c>
      <c r="G15" s="318" cm="1">
        <f t="array" ref="G15">IFERROR(IF(_xll.BDP($D15, "RR902")="#N/A Invalid Security", "", _xll.BDP($D15, "RR902")/1000000),"")</f>
        <v>6229.1196610299994</v>
      </c>
      <c r="H15" s="304" cm="1">
        <f t="array" ref="H15">IFERROR(IF(_xll.BDP($D15, "RR472")="#N/A Invalid Security", "", _xll.BDP($D15, "RR472")),"")</f>
        <v>9683.8425045399999</v>
      </c>
      <c r="I15" s="318" cm="1">
        <f t="array" ref="I15">IFERROR(IF(_xll.BDP($D15, "IS010")="#N/A Invalid Security", "", _xll.BDP($D15, "IS010")),"")</f>
        <v>1724.086</v>
      </c>
      <c r="J15" s="322" cm="1">
        <f t="array" ref="J15">IFERROR(IF(_xll.BDP($D15, "RR009")="#N/A Invalid Security", "", _xll.BDP($D15, "RR009")),"")</f>
        <v>698.59899999999993</v>
      </c>
      <c r="K15" s="318" cm="1">
        <f t="array" ref="K15">IFERROR(IF(_xll.BDP($D15, "IS810")="#N/A Invalid Security", "", _xll.BDP($D15, "IS810")),"")</f>
        <v>201.26504</v>
      </c>
      <c r="L15" s="302" cm="1">
        <f t="array" ref="L15">IFERROR(IF(_xll.BDP($D15, "RR957")="#N/A Invalid Security", "", _xll.BDP($D15, "RR957")),"")</f>
        <v>13.268142955944757</v>
      </c>
      <c r="M15" s="302" cm="1">
        <f t="array" ref="M15">IFERROR(IF(_xll.BDP($D15, "RR956")="#N/A Invalid Security", "", _xll.BDP($D15, "RR956")),"")</f>
        <v>5.3931007617007811</v>
      </c>
      <c r="N15" s="318" cm="1">
        <f t="array" ref="N15">IFERROR(IF(_xll.BDP($D15, "RR052")="#N/A Invalid Security", "", _xll.BDP($D15, "RR052")),"")</f>
        <v>4.7653580845377332</v>
      </c>
      <c r="O15" s="318" cm="1">
        <f t="array" ref="O15">IFERROR(IF(_xll.BDP($D15, "BE051")="#N/A Invalid Security", "", _xll.BDP($D15, "BE051")),"")</f>
        <v>29.145256916996047</v>
      </c>
    </row>
    <row r="16" spans="2:15" x14ac:dyDescent="0.25">
      <c r="C16" s="66" t="s">
        <v>492</v>
      </c>
      <c r="D16" s="317" t="str">
        <f t="shared" si="6"/>
        <v>BALY US EQUITY</v>
      </c>
      <c r="E16" s="317" t="str" cm="1">
        <f t="array" ref="E16">IFERROR(IF(_xll.BDP(D16, "DS002")="#N/A Invalid Security", "", _xll.BDP(D16, "DS002")),"")</f>
        <v>BALLY'S CORP</v>
      </c>
      <c r="F16" s="318" cm="1">
        <f t="array" ref="F16">IFERROR(IF(_xll.BDP($D16, "PR005")="#N/A Invalid Security", "", _xll.BDP($D16, "PR005")),"")</f>
        <v>13.8</v>
      </c>
      <c r="G16" s="318" cm="1">
        <f t="array" ref="G16">IFERROR(IF(_xll.BDP($D16, "RR902")="#N/A Invalid Security", "", _xll.BDP($D16, "RR902")/1000000),"")</f>
        <v>558.69231000000013</v>
      </c>
      <c r="H16" s="304" cm="1">
        <f t="array" ref="H16">IFERROR(IF(_xll.BDP($D16, "RR472")="#N/A Invalid Security", "", _xll.BDP($D16, "RR472")),"")</f>
        <v>5468.6812474999997</v>
      </c>
      <c r="I16" s="318" cm="1">
        <f t="array" ref="I16">IFERROR(IF(_xll.BDP($D16, "IS010")="#N/A Invalid Security", "", _xll.BDP($D16, "IS010")),"")</f>
        <v>2449.0729999999999</v>
      </c>
      <c r="J16" s="322" cm="1">
        <f t="array" ref="J16">IFERROR(IF(_xll.BDP($D16, "RR009")="#N/A Invalid Security", "", _xll.BDP($D16, "RR009")),"")</f>
        <v>602.79200000000003</v>
      </c>
      <c r="K16" s="318" cm="1">
        <f t="array" ref="K16">IFERROR(IF(_xll.BDP($D16, "IS810")="#N/A Invalid Security", "", _xll.BDP($D16, "IS810")),"")</f>
        <v>-388.01463999999999</v>
      </c>
      <c r="L16" s="302" cm="1">
        <f t="array" ref="L16">IFERROR(IF(_xll.BDP($D16, "RR957")="#N/A Invalid Security", "", _xll.BDP($D16, "RR957")),"")</f>
        <v>22.94891582511384</v>
      </c>
      <c r="M16" s="302" cm="1">
        <f t="array" ref="M16">IFERROR(IF(_xll.BDP($D16, "RR956")="#N/A Invalid Security", "", _xll.BDP($D16, "RR956")),"")</f>
        <v>2.2127988747729193</v>
      </c>
      <c r="N16" s="318" cm="1">
        <f t="array" ref="N16">IFERROR(IF(_xll.BDP($D16, "RR052")="#N/A Invalid Security", "", _xll.BDP($D16, "RR052")),"")</f>
        <v>21.311608388083272</v>
      </c>
      <c r="O16" s="318" t="str" cm="1">
        <f t="array" ref="O16">IFERROR(IF(_xll.BDP($D16, "BE051")="#N/A Invalid Security", "", _xll.BDP($D16, "BE051")),"")</f>
        <v>#N/A N/A</v>
      </c>
    </row>
    <row r="17" spans="3:15" x14ac:dyDescent="0.25">
      <c r="C17" s="66" t="s">
        <v>483</v>
      </c>
      <c r="D17" s="317" t="str">
        <f t="shared" si="6"/>
        <v>GDEN US EQUITY</v>
      </c>
      <c r="E17" s="317" t="str" cm="1">
        <f t="array" ref="E17">IFERROR(IF(_xll.BDP(D17, "DS002")="#N/A Invalid Security", "", _xll.BDP(D17, "DS002")),"")</f>
        <v>GOLDEN ENTERTAINMENT INC</v>
      </c>
      <c r="F17" s="318" cm="1">
        <f t="array" ref="F17">IFERROR(IF(_xll.BDP($D17, "PR005")="#N/A Invalid Security", "", _xll.BDP($D17, "PR005")),"")</f>
        <v>30.44</v>
      </c>
      <c r="G17" s="318" cm="1">
        <f t="array" ref="G17">IFERROR(IF(_xll.BDP($D17, "RR902")="#N/A Invalid Security", "", _xll.BDP($D17, "RR902")/1000000),"")</f>
        <v>881.19967603999999</v>
      </c>
      <c r="H17" s="304" cm="1">
        <f t="array" ref="H17">IFERROR(IF(_xll.BDP($D17, "RR472")="#N/A Invalid Security", "", _xll.BDP($D17, "RR472")),"")</f>
        <v>1422.61967</v>
      </c>
      <c r="I17" s="318" cm="1">
        <f t="array" ref="I17">IFERROR(IF(_xll.BDP($D17, "IS010")="#N/A Invalid Security", "", _xll.BDP($D17, "IS010")),"")</f>
        <v>1053.1489999999999</v>
      </c>
      <c r="J17" s="322" cm="1">
        <f t="array" ref="J17">IFERROR(IF(_xll.BDP($D17, "RR009")="#N/A Invalid Security", "", _xll.BDP($D17, "RR009")),"")</f>
        <v>538.26300000000003</v>
      </c>
      <c r="K17" s="318" cm="1">
        <f t="array" ref="K17">IFERROR(IF(_xll.BDP($D17, "IS810")="#N/A Invalid Security", "", _xll.BDP($D17, "IS810")),"")</f>
        <v>27.689319999999999</v>
      </c>
      <c r="L17" s="302" cm="1">
        <f t="array" ref="L17">IFERROR(IF(_xll.BDP($D17, "RR957")="#N/A Invalid Security", "", _xll.BDP($D17, "RR957")),"")</f>
        <v>2.3165746235182474</v>
      </c>
      <c r="M17" s="302" cm="1">
        <f t="array" ref="M17">IFERROR(IF(_xll.BDP($D17, "RR956")="#N/A Invalid Security", "", _xll.BDP($D17, "RR956")),"")</f>
        <v>1.3039395203472601</v>
      </c>
      <c r="N17" s="318" cm="1">
        <f t="array" ref="N17">IFERROR(IF(_xll.BDP($D17, "RR052")="#N/A Invalid Security", "", _xll.BDP($D17, "RR052")),"")</f>
        <v>1.42399143470554</v>
      </c>
      <c r="O17" s="318" cm="1">
        <f t="array" ref="O17">IFERROR(IF(_xll.BDP($D17, "BE051")="#N/A Invalid Security", "", _xll.BDP($D17, "BE051")),"")</f>
        <v>27.49774164408311</v>
      </c>
    </row>
    <row r="18" spans="3:15" x14ac:dyDescent="0.25">
      <c r="C18" s="66" t="s">
        <v>484</v>
      </c>
      <c r="D18" s="317" t="str">
        <f t="shared" si="6"/>
        <v>RSI US EQUITY</v>
      </c>
      <c r="E18" s="317" t="str" cm="1">
        <f t="array" ref="E18">IFERROR(IF(_xll.BDP(D18, "DS002")="#N/A Invalid Security", "", _xll.BDP(D18, "DS002")),"")</f>
        <v>RUSH STREET INTERACTIVE INC</v>
      </c>
      <c r="F18" s="318" cm="1">
        <f t="array" ref="F18">IFERROR(IF(_xll.BDP($D18, "PR005")="#N/A Invalid Security", "", _xll.BDP($D18, "PR005")),"")</f>
        <v>9.99</v>
      </c>
      <c r="G18" s="318" cm="1">
        <f t="array" ref="G18">IFERROR(IF(_xll.BDP($D18, "RR902")="#N/A Invalid Security", "", _xll.BDP($D18, "RR902")/1000000),"")</f>
        <v>2248.3802890799998</v>
      </c>
      <c r="H18" s="304" cm="1">
        <f t="array" ref="H18">IFERROR(IF(_xll.BDP($D18, "RR472")="#N/A Invalid Security", "", _xll.BDP($D18, "RR472")),"")</f>
        <v>1385.96276571</v>
      </c>
      <c r="I18" s="318" cm="1">
        <f t="array" ref="I18">IFERROR(IF(_xll.BDP($D18, "IS010")="#N/A Invalid Security", "", _xll.BDP($D18, "IS010")),"")</f>
        <v>691.16099999999994</v>
      </c>
      <c r="J18" s="322" cm="1">
        <f t="array" ref="J18">IFERROR(IF(_xll.BDP($D18, "RR009")="#N/A Invalid Security", "", _xll.BDP($D18, "RR009")),"")</f>
        <v>-21.851999999999997</v>
      </c>
      <c r="K18" s="318" cm="1">
        <f t="array" ref="K18">IFERROR(IF(_xll.BDP($D18, "IS810")="#N/A Invalid Security", "", _xll.BDP($D18, "IS810")),"")</f>
        <v>-18.305</v>
      </c>
      <c r="L18" s="302" cm="1">
        <f t="array" ref="L18">IFERROR(IF(_xll.BDP($D18, "RR957")="#N/A Invalid Security", "", _xll.BDP($D18, "RR957")),"")</f>
        <v>698.6678329298129</v>
      </c>
      <c r="M18" s="302" cm="1">
        <f t="array" ref="M18">IFERROR(IF(_xll.BDP($D18, "RR956")="#N/A Invalid Security", "", _xll.BDP($D18, "RR956")),"")</f>
        <v>2.9080418974897748</v>
      </c>
      <c r="N18" s="318" cm="1">
        <f t="array" ref="N18">IFERROR(IF(_xll.BDP($D18, "RR052")="#N/A Invalid Security", "", _xll.BDP($D18, "RR052")),"")</f>
        <v>0.38924661944623301</v>
      </c>
      <c r="O18" s="318" cm="1">
        <f t="array" ref="O18">IFERROR(IF(_xll.BDP($D18, "BE051")="#N/A Invalid Security", "", _xll.BDP($D18, "BE051")),"")</f>
        <v>90.818181818181813</v>
      </c>
    </row>
    <row r="19" spans="3:15" x14ac:dyDescent="0.25">
      <c r="C19" s="66" t="s">
        <v>485</v>
      </c>
      <c r="D19" s="317" t="str">
        <f t="shared" si="6"/>
        <v>MCRI US EQUITY</v>
      </c>
      <c r="E19" s="317" t="str" cm="1">
        <f t="array" ref="E19">IFERROR(IF(_xll.BDP(D19, "DS002")="#N/A Invalid Security", "", _xll.BDP(D19, "DS002")),"")</f>
        <v>MONARCH CASINO &amp; RESORT INC</v>
      </c>
      <c r="F19" s="318" cm="1">
        <f t="array" ref="F19">IFERROR(IF(_xll.BDP($D19, "PR005")="#N/A Invalid Security", "", _xll.BDP($D19, "PR005")),"")</f>
        <v>68.760000000000005</v>
      </c>
      <c r="G19" s="318" cm="1">
        <f t="array" ref="G19">IFERROR(IF(_xll.BDP($D19, "RR902")="#N/A Invalid Security", "", _xll.BDP($D19, "RR902")/1000000),"")</f>
        <v>1288.2488544</v>
      </c>
      <c r="H19" s="304" cm="1">
        <f t="array" ref="H19">IFERROR(IF(_xll.BDP($D19, "RR472")="#N/A Invalid Security", "", _xll.BDP($D19, "RR472")),"")</f>
        <v>1392.7783996399999</v>
      </c>
      <c r="I19" s="318" cm="1">
        <f t="array" ref="I19">IFERROR(IF(_xll.BDP($D19, "IS010")="#N/A Invalid Security", "", _xll.BDP($D19, "IS010")),"")</f>
        <v>501.47800000000001</v>
      </c>
      <c r="J19" s="322" cm="1">
        <f t="array" ref="J19">IFERROR(IF(_xll.BDP($D19, "RR009")="#N/A Invalid Security", "", _xll.BDP($D19, "RR009")),"")</f>
        <v>158.99199999999999</v>
      </c>
      <c r="K19" s="318" cm="1">
        <f t="array" ref="K19">IFERROR(IF(_xll.BDP($D19, "IS810")="#N/A Invalid Security", "", _xll.BDP($D19, "IS810")),"")</f>
        <v>87.116900000000001</v>
      </c>
      <c r="L19" s="302" cm="1">
        <f t="array" ref="L19">IFERROR(IF(_xll.BDP($D19, "RR957")="#N/A Invalid Security", "", _xll.BDP($D19, "RR957")),"")</f>
        <v>7.9685196857711595</v>
      </c>
      <c r="M19" s="302" cm="1">
        <f t="array" ref="M19">IFERROR(IF(_xll.BDP($D19, "RR956")="#N/A Invalid Security", "", _xll.BDP($D19, "RR956")),"")</f>
        <v>2.5054005982337295</v>
      </c>
      <c r="N19" s="318" cm="1">
        <f t="array" ref="N19">IFERROR(IF(_xll.BDP($D19, "RR052")="#N/A Invalid Security", "", _xll.BDP($D19, "RR052")),"")</f>
        <v>0.12683441446306679</v>
      </c>
      <c r="O19" s="318" cm="1">
        <f t="array" ref="O19">IFERROR(IF(_xll.BDP($D19, "BE051")="#N/A Invalid Security", "", _xll.BDP($D19, "BE051")),"")</f>
        <v>15.118733509234829</v>
      </c>
    </row>
    <row r="20" spans="3:15" x14ac:dyDescent="0.25">
      <c r="C20" s="66" t="s">
        <v>486</v>
      </c>
      <c r="D20" s="317" t="str">
        <f t="shared" si="6"/>
        <v>LNW US EQUITY</v>
      </c>
      <c r="E20" s="317" t="str" cm="1">
        <f t="array" ref="E20">IFERROR(IF(_xll.BDP(D20, "DS002")="#N/A Invalid Security", "", _xll.BDP(D20, "DS002")),"")</f>
        <v>LIGHT &amp; WONDER INC</v>
      </c>
      <c r="F20" s="318" cm="1">
        <f t="array" ref="F20">IFERROR(IF(_xll.BDP($D20, "PR005")="#N/A Invalid Security", "", _xll.BDP($D20, "PR005")),"")</f>
        <v>101.55</v>
      </c>
      <c r="G20" s="318" cm="1">
        <f t="array" ref="G20">IFERROR(IF(_xll.BDP($D20, "RR902")="#N/A Invalid Security", "", _xll.BDP($D20, "RR902")/1000000),"")</f>
        <v>9153.4856690999986</v>
      </c>
      <c r="H20" s="304" cm="1">
        <f t="array" ref="H20">IFERROR(IF(_xll.BDP($D20, "RR472")="#N/A Invalid Security", "", _xll.BDP($D20, "RR472")),"")</f>
        <v>12665.1</v>
      </c>
      <c r="I20" s="318" cm="1">
        <f t="array" ref="I20">IFERROR(IF(_xll.BDP($D20, "IS010")="#N/A Invalid Security", "", _xll.BDP($D20, "IS010")),"")</f>
        <v>2902</v>
      </c>
      <c r="J20" s="322" cm="1">
        <f t="array" ref="J20">IFERROR(IF(_xll.BDP($D20, "RR009")="#N/A Invalid Security", "", _xll.BDP($D20, "RR009")),"")</f>
        <v>925</v>
      </c>
      <c r="K20" s="318" cm="1">
        <f t="array" ref="K20">IFERROR(IF(_xll.BDP($D20, "IS810")="#N/A Invalid Security", "", _xll.BDP($D20, "IS810")),"")</f>
        <v>232.51999999999998</v>
      </c>
      <c r="L20" s="302" cm="1">
        <f t="array" ref="L20">IFERROR(IF(_xll.BDP($D20, "RR957")="#N/A Invalid Security", "", _xll.BDP($D20, "RR957")),"")</f>
        <v>13.309257817808218</v>
      </c>
      <c r="M20" s="302" cm="1">
        <f t="array" ref="M20">IFERROR(IF(_xll.BDP($D20, "RR956")="#N/A Invalid Security", "", _xll.BDP($D20, "RR956")),"")</f>
        <v>4.2270701703815252</v>
      </c>
      <c r="N20" s="318" cm="1">
        <f t="array" ref="N20">IFERROR(IF(_xll.BDP($D20, "RR052")="#N/A Invalid Security", "", _xll.BDP($D20, "RR052")),"")</f>
        <v>4.1380400421496315</v>
      </c>
      <c r="O20" s="318" cm="1">
        <f t="array" ref="O20">IFERROR(IF(_xll.BDP($D20, "BE051")="#N/A Invalid Security", "", _xll.BDP($D20, "BE051")),"")</f>
        <v>22.809973045822101</v>
      </c>
    </row>
    <row r="21" spans="3:15" x14ac:dyDescent="0.25">
      <c r="C21" s="66" t="s">
        <v>487</v>
      </c>
      <c r="D21" s="317" t="str">
        <f t="shared" si="6"/>
        <v>DKNG US EQUITY</v>
      </c>
      <c r="E21" s="317" t="str" cm="1">
        <f t="array" ref="E21">IFERROR(IF(_xll.BDP(D21, "DS002")="#N/A Invalid Security", "", _xll.BDP(D21, "DS002")),"")</f>
        <v>DRAFTKINGS INC-CL A</v>
      </c>
      <c r="F21" s="318" cm="1">
        <f t="array" ref="F21">IFERROR(IF(_xll.BDP($D21, "PR005")="#N/A Invalid Security", "", _xll.BDP($D21, "PR005")),"")</f>
        <v>36.93</v>
      </c>
      <c r="G21" s="318" cm="1">
        <f t="array" ref="G21">IFERROR(IF(_xll.BDP($D21, "RR902")="#N/A Invalid Security", "", _xll.BDP($D21, "RR902")/1000000),"")</f>
        <v>17864.204664299999</v>
      </c>
      <c r="H21" s="304" cm="1">
        <f t="array" ref="H21">IFERROR(IF(_xll.BDP($D21, "RR472")="#N/A Invalid Security", "", _xll.BDP($D21, "RR472")),"")</f>
        <v>39616.918209999996</v>
      </c>
      <c r="I21" s="318" cm="1">
        <f t="array" ref="I21">IFERROR(IF(_xll.BDP($D21, "IS010")="#N/A Invalid Security", "", _xll.BDP($D21, "IS010")),"")</f>
        <v>3665.393</v>
      </c>
      <c r="J21" s="322" cm="1">
        <f t="array" ref="J21">IFERROR(IF(_xll.BDP($D21, "RR009")="#N/A Invalid Security", "", _xll.BDP($D21, "RR009")),"")</f>
        <v>-568.83400000000006</v>
      </c>
      <c r="K21" s="318" cm="1">
        <f t="array" ref="K21">IFERROR(IF(_xll.BDP($D21, "IS810")="#N/A Invalid Security", "", _xll.BDP($D21, "IS810")),"")</f>
        <v>-771.52949999999998</v>
      </c>
      <c r="L21" s="302" t="str" cm="1">
        <f t="array" ref="L21">IFERROR(IF(_xll.BDP($D21, "RR957")="#N/A Invalid Security", "", _xll.BDP($D21, "RR957")),"")</f>
        <v>#N/A N/A</v>
      </c>
      <c r="M21" s="302" cm="1">
        <f t="array" ref="M21">IFERROR(IF(_xll.BDP($D21, "RR956")="#N/A Invalid Security", "", _xll.BDP($D21, "RR956")),"")</f>
        <v>4.4257722039768232</v>
      </c>
      <c r="N21" s="318" t="str" cm="1">
        <f t="array" ref="N21">IFERROR(IF(_xll.BDP($D21, "RR052")="#N/A Invalid Security", "", _xll.BDP($D21, "RR052")),"")</f>
        <v>#N/A N/A</v>
      </c>
      <c r="O21" s="318" cm="1">
        <f t="array" ref="O21">IFERROR(IF(_xll.BDP($D21, "BE051")="#N/A Invalid Security", "", _xll.BDP($D21, "BE051")),"")</f>
        <v>57.078825347758887</v>
      </c>
    </row>
    <row r="22" spans="3:15" x14ac:dyDescent="0.25">
      <c r="C22" s="66"/>
      <c r="D22" s="317" t="str">
        <f t="shared" si="6"/>
        <v/>
      </c>
      <c r="E22" s="317" t="str" cm="1">
        <f t="array" ref="E22">IFERROR(IF(_xll.BDP(D22, "DS002")="#N/A Invalid Security", "", _xll.BDP(D22, "DS002")),"")</f>
        <v/>
      </c>
      <c r="F22" s="318" t="str" cm="1">
        <f t="array" ref="F22">IFERROR(IF(_xll.BDP($D22, "PR005")="#N/A Invalid Security", "", _xll.BDP($D22, "PR005")),"")</f>
        <v/>
      </c>
      <c r="G22" s="318" t="str" cm="1">
        <f t="array" ref="G22">IFERROR(IF(_xll.BDP($D22, "RR902")="#N/A Invalid Security", "", _xll.BDP($D22, "RR902")/1000000),"")</f>
        <v/>
      </c>
      <c r="H22" s="304" t="str" cm="1">
        <f t="array" ref="H22">IFERROR(IF(_xll.BDP($D22, "RR472")="#N/A Invalid Security", "", _xll.BDP($D22, "RR472")),"")</f>
        <v/>
      </c>
      <c r="I22" s="318" t="str" cm="1">
        <f t="array" ref="I22">IFERROR(IF(_xll.BDP($D22, "IS010")="#N/A Invalid Security", "", _xll.BDP($D22, "IS010")),"")</f>
        <v/>
      </c>
      <c r="J22" s="322" t="str" cm="1">
        <f t="array" ref="J22">IFERROR(IF(_xll.BDP($D22, "RR009")="#N/A Invalid Security", "", _xll.BDP($D22, "RR009")),"")</f>
        <v/>
      </c>
      <c r="K22" s="318" t="str" cm="1">
        <f t="array" ref="K22">IFERROR(IF(_xll.BDP($D22, "IS810")="#N/A Invalid Security", "", _xll.BDP($D22, "IS810")),"")</f>
        <v/>
      </c>
      <c r="L22" s="302" t="str" cm="1">
        <f t="array" ref="L22">IFERROR(IF(_xll.BDP($D22, "RR957")="#N/A Invalid Security", "", _xll.BDP($D22, "RR957")),"")</f>
        <v/>
      </c>
      <c r="M22" s="302" t="str" cm="1">
        <f t="array" ref="M22">IFERROR(IF(_xll.BDP($D22, "RR956")="#N/A Invalid Security", "", _xll.BDP($D22, "RR956")),"")</f>
        <v/>
      </c>
      <c r="N22" s="318" t="str" cm="1">
        <f t="array" ref="N22">IFERROR(IF(_xll.BDP($D22, "RR052")="#N/A Invalid Security", "", _xll.BDP($D22, "RR052")),"")</f>
        <v/>
      </c>
      <c r="O22" s="318" t="str" cm="1">
        <f t="array" ref="O22">IFERROR(IF(_xll.BDP($D22, "BE051")="#N/A Invalid Security", "", _xll.BDP($D22, "BE051")),"")</f>
        <v/>
      </c>
    </row>
    <row r="23" spans="3:15" x14ac:dyDescent="0.25">
      <c r="C23" s="66"/>
      <c r="D23" s="317" t="str">
        <f t="shared" si="6"/>
        <v/>
      </c>
      <c r="E23" s="317" t="str" cm="1">
        <f t="array" ref="E23">IFERROR(IF(_xll.BDP(D23, "DS002")="#N/A Invalid Security", "", _xll.BDP(D23, "DS002")),"")</f>
        <v/>
      </c>
      <c r="F23" s="318" t="str" cm="1">
        <f t="array" ref="F23">IFERROR(IF(_xll.BDP($D23, "PR005")="#N/A Invalid Security", "", _xll.BDP($D23, "PR005")),"")</f>
        <v/>
      </c>
      <c r="G23" s="318" t="str" cm="1">
        <f t="array" ref="G23">IFERROR(IF(_xll.BDP($D23, "RR902")="#N/A Invalid Security", "", _xll.BDP($D23, "RR902")/1000000),"")</f>
        <v/>
      </c>
      <c r="H23" s="304" t="str" cm="1">
        <f t="array" ref="H23">IFERROR(IF(_xll.BDP($D23, "RR472")="#N/A Invalid Security", "", _xll.BDP($D23, "RR472")),"")</f>
        <v/>
      </c>
      <c r="I23" s="318" t="str" cm="1">
        <f t="array" ref="I23">IFERROR(IF(_xll.BDP($D23, "IS010")="#N/A Invalid Security", "", _xll.BDP($D23, "IS010")),"")</f>
        <v/>
      </c>
      <c r="J23" s="322" t="str" cm="1">
        <f t="array" ref="J23">IFERROR(IF(_xll.BDP($D23, "RR009")="#N/A Invalid Security", "", _xll.BDP($D23, "RR009")),"")</f>
        <v/>
      </c>
      <c r="K23" s="318" t="str" cm="1">
        <f t="array" ref="K23">IFERROR(IF(_xll.BDP($D23, "IS810")="#N/A Invalid Security", "", _xll.BDP($D23, "IS810")),"")</f>
        <v/>
      </c>
      <c r="L23" s="302" t="str" cm="1">
        <f t="array" ref="L23">IFERROR(IF(_xll.BDP($D23, "RR957")="#N/A Invalid Security", "", _xll.BDP($D23, "RR957")),"")</f>
        <v/>
      </c>
      <c r="M23" s="302" t="str" cm="1">
        <f t="array" ref="M23">IFERROR(IF(_xll.BDP($D23, "RR956")="#N/A Invalid Security", "", _xll.BDP($D23, "RR956")),"")</f>
        <v/>
      </c>
      <c r="N23" s="318" t="str" cm="1">
        <f t="array" ref="N23">IFERROR(IF(_xll.BDP($D23, "RR052")="#N/A Invalid Security", "", _xll.BDP($D23, "RR052")),"")</f>
        <v/>
      </c>
      <c r="O23" s="318" t="str" cm="1">
        <f t="array" ref="O23">IFERROR(IF(_xll.BDP($D23, "BE051")="#N/A Invalid Security", "", _xll.BDP($D23, "BE051")),"")</f>
        <v/>
      </c>
    </row>
    <row r="24" spans="3:15" x14ac:dyDescent="0.25">
      <c r="C24" s="66"/>
      <c r="D24" s="317" t="str">
        <f t="shared" si="6"/>
        <v/>
      </c>
      <c r="E24" s="317" t="str" cm="1">
        <f t="array" ref="E24">IFERROR(IF(_xll.BDP(D24, "DS002")="#N/A Invalid Security", "", _xll.BDP(D24, "DS002")),"")</f>
        <v/>
      </c>
      <c r="F24" s="318" t="str" cm="1">
        <f t="array" ref="F24">IFERROR(IF(_xll.BDP($D24, "PR005")="#N/A Invalid Security", "", _xll.BDP($D24, "PR005")),"")</f>
        <v/>
      </c>
      <c r="G24" s="318" t="str" cm="1">
        <f t="array" ref="G24">IFERROR(IF(_xll.BDP($D24, "RR902")="#N/A Invalid Security", "", _xll.BDP($D24, "RR902")/1000000),"")</f>
        <v/>
      </c>
      <c r="H24" s="304" t="str" cm="1">
        <f t="array" ref="H24">IFERROR(IF(_xll.BDP($D24, "RR472")="#N/A Invalid Security", "", _xll.BDP($D24, "RR472")),"")</f>
        <v/>
      </c>
      <c r="I24" s="318" t="str" cm="1">
        <f t="array" ref="I24">IFERROR(IF(_xll.BDP($D24, "IS010")="#N/A Invalid Security", "", _xll.BDP($D24, "IS010")),"")</f>
        <v/>
      </c>
      <c r="J24" s="322" t="str" cm="1">
        <f t="array" ref="J24">IFERROR(IF(_xll.BDP($D24, "RR009")="#N/A Invalid Security", "", _xll.BDP($D24, "RR009")),"")</f>
        <v/>
      </c>
      <c r="K24" s="318" t="str" cm="1">
        <f t="array" ref="K24">IFERROR(IF(_xll.BDP($D24, "IS810")="#N/A Invalid Security", "", _xll.BDP($D24, "IS810")),"")</f>
        <v/>
      </c>
      <c r="L24" s="302" t="str" cm="1">
        <f t="array" ref="L24">IFERROR(IF(_xll.BDP($D24, "RR957")="#N/A Invalid Security", "", _xll.BDP($D24, "RR957")),"")</f>
        <v/>
      </c>
      <c r="M24" s="302" t="str" cm="1">
        <f t="array" ref="M24">IFERROR(IF(_xll.BDP($D24, "RR956")="#N/A Invalid Security", "", _xll.BDP($D24, "RR956")),"")</f>
        <v/>
      </c>
      <c r="N24" s="318" t="str" cm="1">
        <f t="array" ref="N24">IFERROR(IF(_xll.BDP($D24, "RR052")="#N/A Invalid Security", "", _xll.BDP($D24, "RR052")),"")</f>
        <v/>
      </c>
      <c r="O24" s="318" t="str" cm="1">
        <f t="array" ref="O24">IFERROR(IF(_xll.BDP($D24, "BE051")="#N/A Invalid Security", "", _xll.BDP($D24, "BE051")),"")</f>
        <v/>
      </c>
    </row>
    <row r="25" spans="3:15" x14ac:dyDescent="0.25">
      <c r="C25" s="66"/>
      <c r="D25" s="317" t="str">
        <f t="shared" si="6"/>
        <v/>
      </c>
      <c r="E25" s="317" t="str" cm="1">
        <f t="array" ref="E25">IFERROR(IF(_xll.BDP(D25, "DS002")="#N/A Invalid Security", "", _xll.BDP(D25, "DS002")),"")</f>
        <v/>
      </c>
      <c r="F25" s="318" t="str" cm="1">
        <f t="array" ref="F25">IFERROR(IF(_xll.BDP($D25, "PR005")="#N/A Invalid Security", "", _xll.BDP($D25, "PR005")),"")</f>
        <v/>
      </c>
      <c r="G25" s="318" t="str" cm="1">
        <f t="array" ref="G25">IFERROR(IF(_xll.BDP($D25, "RR902")="#N/A Invalid Security", "", _xll.BDP($D25, "RR902")/1000000),"")</f>
        <v/>
      </c>
      <c r="H25" s="304" t="str" cm="1">
        <f t="array" ref="H25">IFERROR(IF(_xll.BDP($D25, "RR472")="#N/A Invalid Security", "", _xll.BDP($D25, "RR472")),"")</f>
        <v/>
      </c>
      <c r="I25" s="318" t="str" cm="1">
        <f t="array" ref="I25">IFERROR(IF(_xll.BDP($D25, "IS010")="#N/A Invalid Security", "", _xll.BDP($D25, "IS010")),"")</f>
        <v/>
      </c>
      <c r="J25" s="322" t="str" cm="1">
        <f t="array" ref="J25">IFERROR(IF(_xll.BDP($D25, "RR009")="#N/A Invalid Security", "", _xll.BDP($D25, "RR009")),"")</f>
        <v/>
      </c>
      <c r="K25" s="318" t="str" cm="1">
        <f t="array" ref="K25">IFERROR(IF(_xll.BDP($D25, "IS810")="#N/A Invalid Security", "", _xll.BDP($D25, "IS810")),"")</f>
        <v/>
      </c>
      <c r="L25" s="302" t="str" cm="1">
        <f t="array" ref="L25">IFERROR(IF(_xll.BDP($D25, "RR957")="#N/A Invalid Security", "", _xll.BDP($D25, "RR957")),"")</f>
        <v/>
      </c>
      <c r="M25" s="302" t="str" cm="1">
        <f t="array" ref="M25">IFERROR(IF(_xll.BDP($D25, "RR956")="#N/A Invalid Security", "", _xll.BDP($D25, "RR956")),"")</f>
        <v/>
      </c>
      <c r="N25" s="318" t="str" cm="1">
        <f t="array" ref="N25">IFERROR(IF(_xll.BDP($D25, "RR052")="#N/A Invalid Security", "", _xll.BDP($D25, "RR052")),"")</f>
        <v/>
      </c>
      <c r="O25" s="318" t="str" cm="1">
        <f t="array" ref="O25">IFERROR(IF(_xll.BDP($D25, "BE051")="#N/A Invalid Security", "", _xll.BDP($D25, "BE051")),"")</f>
        <v/>
      </c>
    </row>
    <row r="26" spans="3:15" x14ac:dyDescent="0.25">
      <c r="C26" s="66"/>
      <c r="D26" s="317" t="str">
        <f t="shared" si="6"/>
        <v/>
      </c>
      <c r="E26" s="317" t="str" cm="1">
        <f t="array" ref="E26">IFERROR(IF(_xll.BDP(D26, "DS002")="#N/A Invalid Security", "", _xll.BDP(D26, "DS002")),"")</f>
        <v/>
      </c>
      <c r="F26" s="318" t="str" cm="1">
        <f t="array" ref="F26">IFERROR(IF(_xll.BDP($D26, "PR005")="#N/A Invalid Security", "", _xll.BDP($D26, "PR005")),"")</f>
        <v/>
      </c>
      <c r="G26" s="318" t="str" cm="1">
        <f t="array" ref="G26">IFERROR(IF(_xll.BDP($D26, "RR902")="#N/A Invalid Security", "", _xll.BDP($D26, "RR902")/1000000),"")</f>
        <v/>
      </c>
      <c r="H26" s="304" t="str" cm="1">
        <f t="array" ref="H26">IFERROR(IF(_xll.BDP($D26, "RR472")="#N/A Invalid Security", "", _xll.BDP($D26, "RR472")),"")</f>
        <v/>
      </c>
      <c r="I26" s="318" t="str" cm="1">
        <f t="array" ref="I26">IFERROR(IF(_xll.BDP($D26, "IS010")="#N/A Invalid Security", "", _xll.BDP($D26, "IS010")),"")</f>
        <v/>
      </c>
      <c r="J26" s="322" t="str" cm="1">
        <f t="array" ref="J26">IFERROR(IF(_xll.BDP($D26, "RR009")="#N/A Invalid Security", "", _xll.BDP($D26, "RR009")),"")</f>
        <v/>
      </c>
      <c r="K26" s="318" t="str" cm="1">
        <f t="array" ref="K26">IFERROR(IF(_xll.BDP($D26, "IS810")="#N/A Invalid Security", "", _xll.BDP($D26, "IS810")),"")</f>
        <v/>
      </c>
      <c r="L26" s="302" t="str" cm="1">
        <f t="array" ref="L26">IFERROR(IF(_xll.BDP($D26, "RR957")="#N/A Invalid Security", "", _xll.BDP($D26, "RR957")),"")</f>
        <v/>
      </c>
      <c r="M26" s="302" t="str" cm="1">
        <f t="array" ref="M26">IFERROR(IF(_xll.BDP($D26, "RR956")="#N/A Invalid Security", "", _xll.BDP($D26, "RR956")),"")</f>
        <v/>
      </c>
      <c r="N26" s="318" t="str" cm="1">
        <f t="array" ref="N26">IFERROR(IF(_xll.BDP($D26, "RR052")="#N/A Invalid Security", "", _xll.BDP($D26, "RR052")),"")</f>
        <v/>
      </c>
      <c r="O26" s="318" t="str" cm="1">
        <f t="array" ref="O26">IFERROR(IF(_xll.BDP($D26, "BE051")="#N/A Invalid Security", "", _xll.BDP($D26, "BE051")),"")</f>
        <v/>
      </c>
    </row>
    <row r="27" spans="3:15" x14ac:dyDescent="0.25">
      <c r="C27" s="66"/>
      <c r="D27" s="317" t="str">
        <f t="shared" si="6"/>
        <v/>
      </c>
      <c r="E27" s="317" t="str" cm="1">
        <f t="array" ref="E27">IFERROR(IF(_xll.BDP(D27, "DS002")="#N/A Invalid Security", "", _xll.BDP(D27, "DS002")),"")</f>
        <v/>
      </c>
      <c r="F27" s="318" t="str" cm="1">
        <f t="array" ref="F27">IFERROR(IF(_xll.BDP($D27, "PR005")="#N/A Invalid Security", "", _xll.BDP($D27, "PR005")),"")</f>
        <v/>
      </c>
      <c r="G27" s="318" t="str" cm="1">
        <f t="array" ref="G27">IFERROR(IF(_xll.BDP($D27, "RR902")="#N/A Invalid Security", "", _xll.BDP($D27, "RR902")/1000000),"")</f>
        <v/>
      </c>
      <c r="H27" s="304" t="str" cm="1">
        <f t="array" ref="H27">IFERROR(IF(_xll.BDP($D27, "RR472")="#N/A Invalid Security", "", _xll.BDP($D27, "RR472")),"")</f>
        <v/>
      </c>
      <c r="I27" s="318" t="str" cm="1">
        <f t="array" ref="I27">IFERROR(IF(_xll.BDP($D27, "IS010")="#N/A Invalid Security", "", _xll.BDP($D27, "IS010")),"")</f>
        <v/>
      </c>
      <c r="J27" s="322" t="str" cm="1">
        <f t="array" ref="J27">IFERROR(IF(_xll.BDP($D27, "RR009")="#N/A Invalid Security", "", _xll.BDP($D27, "RR009")),"")</f>
        <v/>
      </c>
      <c r="K27" s="318" t="str" cm="1">
        <f t="array" ref="K27">IFERROR(IF(_xll.BDP($D27, "IS810")="#N/A Invalid Security", "", _xll.BDP($D27, "IS810")),"")</f>
        <v/>
      </c>
      <c r="L27" s="302" t="str" cm="1">
        <f t="array" ref="L27">IFERROR(IF(_xll.BDP($D27, "RR957")="#N/A Invalid Security", "", _xll.BDP($D27, "RR957")),"")</f>
        <v/>
      </c>
      <c r="M27" s="302" t="str" cm="1">
        <f t="array" ref="M27">IFERROR(IF(_xll.BDP($D27, "RR956")="#N/A Invalid Security", "", _xll.BDP($D27, "RR956")),"")</f>
        <v/>
      </c>
      <c r="N27" s="318" t="str" cm="1">
        <f t="array" ref="N27">IFERROR(IF(_xll.BDP($D27, "RR052")="#N/A Invalid Security", "", _xll.BDP($D27, "RR052")),"")</f>
        <v/>
      </c>
      <c r="O27" s="318" t="str" cm="1">
        <f t="array" ref="O27">IFERROR(IF(_xll.BDP($D27, "BE051")="#N/A Invalid Security", "", _xll.BDP($D27, "BE051")),"")</f>
        <v/>
      </c>
    </row>
    <row r="28" spans="3:15" x14ac:dyDescent="0.25">
      <c r="C28" s="66"/>
      <c r="D28" s="317" t="str">
        <f t="shared" si="6"/>
        <v/>
      </c>
      <c r="E28" s="317" t="str" cm="1">
        <f t="array" ref="E28">IFERROR(IF(_xll.BDP(D28, "DS002")="#N/A Invalid Security", "", _xll.BDP(D28, "DS002")),"")</f>
        <v/>
      </c>
      <c r="F28" s="318" t="str" cm="1">
        <f t="array" ref="F28">IFERROR(IF(_xll.BDP($D28, "PR005")="#N/A Invalid Security", "", _xll.BDP($D28, "PR005")),"")</f>
        <v/>
      </c>
      <c r="G28" s="318" t="str" cm="1">
        <f t="array" ref="G28">IFERROR(IF(_xll.BDP($D28, "RR902")="#N/A Invalid Security", "", _xll.BDP($D28, "RR902")/1000000),"")</f>
        <v/>
      </c>
      <c r="H28" s="304" t="str" cm="1">
        <f t="array" ref="H28">IFERROR(IF(_xll.BDP($D28, "RR472")="#N/A Invalid Security", "", _xll.BDP($D28, "RR472")),"")</f>
        <v/>
      </c>
      <c r="I28" s="318" t="str" cm="1">
        <f t="array" ref="I28">IFERROR(IF(_xll.BDP($D28, "IS010")="#N/A Invalid Security", "", _xll.BDP($D28, "IS010")),"")</f>
        <v/>
      </c>
      <c r="J28" s="322" t="str" cm="1">
        <f t="array" ref="J28">IFERROR(IF(_xll.BDP($D28, "RR009")="#N/A Invalid Security", "", _xll.BDP($D28, "RR009")),"")</f>
        <v/>
      </c>
      <c r="K28" s="318" t="str" cm="1">
        <f t="array" ref="K28">IFERROR(IF(_xll.BDP($D28, "IS810")="#N/A Invalid Security", "", _xll.BDP($D28, "IS810")),"")</f>
        <v/>
      </c>
      <c r="L28" s="302" t="str" cm="1">
        <f t="array" ref="L28">IFERROR(IF(_xll.BDP($D28, "RR957")="#N/A Invalid Security", "", _xll.BDP($D28, "RR957")),"")</f>
        <v/>
      </c>
      <c r="M28" s="302" t="str" cm="1">
        <f t="array" ref="M28">IFERROR(IF(_xll.BDP($D28, "RR956")="#N/A Invalid Security", "", _xll.BDP($D28, "RR956")),"")</f>
        <v/>
      </c>
      <c r="N28" s="318" t="str" cm="1">
        <f t="array" ref="N28">IFERROR(IF(_xll.BDP($D28, "RR052")="#N/A Invalid Security", "", _xll.BDP($D28, "RR052")),"")</f>
        <v/>
      </c>
      <c r="O28" s="318" t="str" cm="1">
        <f t="array" ref="O28">IFERROR(IF(_xll.BDP($D28, "BE051")="#N/A Invalid Security", "", _xll.BDP($D28, "BE051")),"")</f>
        <v/>
      </c>
    </row>
    <row r="29" spans="3:15" x14ac:dyDescent="0.25">
      <c r="C29" s="66"/>
      <c r="D29" s="317" t="str">
        <f t="shared" si="6"/>
        <v/>
      </c>
      <c r="E29" s="317" t="str" cm="1">
        <f t="array" ref="E29">IFERROR(IF(_xll.BDP(D29, "DS002")="#N/A Invalid Security", "", _xll.BDP(D29, "DS002")),"")</f>
        <v/>
      </c>
      <c r="F29" s="318" t="str" cm="1">
        <f t="array" ref="F29">IFERROR(IF(_xll.BDP($D29, "PR005")="#N/A Invalid Security", "", _xll.BDP($D29, "PR005")),"")</f>
        <v/>
      </c>
      <c r="G29" s="318" t="str" cm="1">
        <f t="array" ref="G29">IFERROR(IF(_xll.BDP($D29, "RR902")="#N/A Invalid Security", "", _xll.BDP($D29, "RR902")/1000000),"")</f>
        <v/>
      </c>
      <c r="H29" s="304" t="str" cm="1">
        <f t="array" ref="H29">IFERROR(IF(_xll.BDP($D29, "RR472")="#N/A Invalid Security", "", _xll.BDP($D29, "RR472")),"")</f>
        <v/>
      </c>
      <c r="I29" s="318" t="str" cm="1">
        <f t="array" ref="I29">IFERROR(IF(_xll.BDP($D29, "IS010")="#N/A Invalid Security", "", _xll.BDP($D29, "IS010")),"")</f>
        <v/>
      </c>
      <c r="J29" s="322" t="str" cm="1">
        <f t="array" ref="J29">IFERROR(IF(_xll.BDP($D29, "RR009")="#N/A Invalid Security", "", _xll.BDP($D29, "RR009")),"")</f>
        <v/>
      </c>
      <c r="K29" s="318" t="str" cm="1">
        <f t="array" ref="K29">IFERROR(IF(_xll.BDP($D29, "IS810")="#N/A Invalid Security", "", _xll.BDP($D29, "IS810")),"")</f>
        <v/>
      </c>
      <c r="L29" s="302" t="str" cm="1">
        <f t="array" ref="L29">IFERROR(IF(_xll.BDP($D29, "RR957")="#N/A Invalid Security", "", _xll.BDP($D29, "RR957")),"")</f>
        <v/>
      </c>
      <c r="M29" s="302" t="str" cm="1">
        <f t="array" ref="M29">IFERROR(IF(_xll.BDP($D29, "RR956")="#N/A Invalid Security", "", _xll.BDP($D29, "RR956")),"")</f>
        <v/>
      </c>
      <c r="N29" s="318" t="str" cm="1">
        <f t="array" ref="N29">IFERROR(IF(_xll.BDP($D29, "RR052")="#N/A Invalid Security", "", _xll.BDP($D29, "RR052")),"")</f>
        <v/>
      </c>
      <c r="O29" s="318" t="str" cm="1">
        <f t="array" ref="O29">IFERROR(IF(_xll.BDP($D29, "BE051")="#N/A Invalid Security", "", _xll.BDP($D29, "BE051")),"")</f>
        <v/>
      </c>
    </row>
    <row r="30" spans="3:15" x14ac:dyDescent="0.25">
      <c r="C30" s="66"/>
      <c r="D30" s="317" t="str">
        <f t="shared" si="6"/>
        <v/>
      </c>
      <c r="E30" s="317" t="str" cm="1">
        <f t="array" ref="E30">IFERROR(IF(_xll.BDP(D30, "DS002")="#N/A Invalid Security", "", _xll.BDP(D30, "DS002")),"")</f>
        <v/>
      </c>
      <c r="F30" s="318" t="str" cm="1">
        <f t="array" ref="F30">IFERROR(IF(_xll.BDP($D30, "PR005")="#N/A Invalid Security", "", _xll.BDP($D30, "PR005")),"")</f>
        <v/>
      </c>
      <c r="G30" s="318" t="str" cm="1">
        <f t="array" ref="G30">IFERROR(IF(_xll.BDP($D30, "RR902")="#N/A Invalid Security", "", _xll.BDP($D30, "RR902")/1000000),"")</f>
        <v/>
      </c>
      <c r="H30" s="304" t="str" cm="1">
        <f t="array" ref="H30">IFERROR(IF(_xll.BDP($D30, "RR472")="#N/A Invalid Security", "", _xll.BDP($D30, "RR472")),"")</f>
        <v/>
      </c>
      <c r="I30" s="318" t="str" cm="1">
        <f t="array" ref="I30">IFERROR(IF(_xll.BDP($D30, "IS010")="#N/A Invalid Security", "", _xll.BDP($D30, "IS010")),"")</f>
        <v/>
      </c>
      <c r="J30" s="322" t="str" cm="1">
        <f t="array" ref="J30">IFERROR(IF(_xll.BDP($D30, "RR009")="#N/A Invalid Security", "", _xll.BDP($D30, "RR009")),"")</f>
        <v/>
      </c>
      <c r="K30" s="318" t="str" cm="1">
        <f t="array" ref="K30">IFERROR(IF(_xll.BDP($D30, "IS810")="#N/A Invalid Security", "", _xll.BDP($D30, "IS810")),"")</f>
        <v/>
      </c>
      <c r="L30" s="302" t="str" cm="1">
        <f t="array" ref="L30">IFERROR(IF(_xll.BDP($D30, "RR957")="#N/A Invalid Security", "", _xll.BDP($D30, "RR957")),"")</f>
        <v/>
      </c>
      <c r="M30" s="302" t="str" cm="1">
        <f t="array" ref="M30">IFERROR(IF(_xll.BDP($D30, "RR956")="#N/A Invalid Security", "", _xll.BDP($D30, "RR956")),"")</f>
        <v/>
      </c>
      <c r="N30" s="318" t="str" cm="1">
        <f t="array" ref="N30">IFERROR(IF(_xll.BDP($D30, "RR052")="#N/A Invalid Security", "", _xll.BDP($D30, "RR052")),"")</f>
        <v/>
      </c>
      <c r="O30" s="318" t="str" cm="1">
        <f t="array" ref="O30">IFERROR(IF(_xll.BDP($D30, "BE051")="#N/A Invalid Security", "", _xll.BDP($D30, "BE051")),"")</f>
        <v/>
      </c>
    </row>
    <row r="31" spans="3:15" x14ac:dyDescent="0.25">
      <c r="C31" s="66"/>
      <c r="D31" s="317" t="str">
        <f t="shared" si="6"/>
        <v/>
      </c>
      <c r="E31" s="317" t="str" cm="1">
        <f t="array" ref="E31">IFERROR(IF(_xll.BDP(D31, "DS002")="#N/A Invalid Security", "", _xll.BDP(D31, "DS002")),"")</f>
        <v/>
      </c>
      <c r="F31" s="318" t="str" cm="1">
        <f t="array" ref="F31">IFERROR(IF(_xll.BDP($D31, "PR005")="#N/A Invalid Security", "", _xll.BDP($D31, "PR005")),"")</f>
        <v/>
      </c>
      <c r="G31" s="318" t="str" cm="1">
        <f t="array" ref="G31">IFERROR(IF(_xll.BDP($D31, "RR902")="#N/A Invalid Security", "", _xll.BDP($D31, "RR902")/1000000),"")</f>
        <v/>
      </c>
      <c r="H31" s="304" t="str" cm="1">
        <f t="array" ref="H31">IFERROR(IF(_xll.BDP($D31, "RR472")="#N/A Invalid Security", "", _xll.BDP($D31, "RR472")),"")</f>
        <v/>
      </c>
      <c r="I31" s="318" t="str" cm="1">
        <f t="array" ref="I31">IFERROR(IF(_xll.BDP($D31, "IS010")="#N/A Invalid Security", "", _xll.BDP($D31, "IS010")),"")</f>
        <v/>
      </c>
      <c r="J31" s="322" t="str" cm="1">
        <f t="array" ref="J31">IFERROR(IF(_xll.BDP($D31, "RR009")="#N/A Invalid Security", "", _xll.BDP($D31, "RR009")),"")</f>
        <v/>
      </c>
      <c r="K31" s="318" t="str" cm="1">
        <f t="array" ref="K31">IFERROR(IF(_xll.BDP($D31, "IS810")="#N/A Invalid Security", "", _xll.BDP($D31, "IS810")),"")</f>
        <v/>
      </c>
      <c r="L31" s="302" t="str" cm="1">
        <f t="array" ref="L31">IFERROR(IF(_xll.BDP($D31, "RR957")="#N/A Invalid Security", "", _xll.BDP($D31, "RR957")),"")</f>
        <v/>
      </c>
      <c r="M31" s="302" t="str" cm="1">
        <f t="array" ref="M31">IFERROR(IF(_xll.BDP($D31, "RR956")="#N/A Invalid Security", "", _xll.BDP($D31, "RR956")),"")</f>
        <v/>
      </c>
      <c r="N31" s="318" t="str" cm="1">
        <f t="array" ref="N31">IFERROR(IF(_xll.BDP($D31, "RR052")="#N/A Invalid Security", "", _xll.BDP($D31, "RR052")),"")</f>
        <v/>
      </c>
      <c r="O31" s="318" t="str" cm="1">
        <f t="array" ref="O31">IFERROR(IF(_xll.BDP($D31, "BE051")="#N/A Invalid Security", "", _xll.BDP($D31, "BE051")),"")</f>
        <v/>
      </c>
    </row>
    <row r="32" spans="3:15" x14ac:dyDescent="0.25">
      <c r="C32" s="66"/>
      <c r="D32" s="317" t="str">
        <f t="shared" si="6"/>
        <v/>
      </c>
      <c r="E32" s="317" t="str" cm="1">
        <f t="array" ref="E32">IFERROR(IF(_xll.BDP(D32, "DS002")="#N/A Invalid Security", "", _xll.BDP(D32, "DS002")),"")</f>
        <v/>
      </c>
      <c r="F32" s="318" t="str" cm="1">
        <f t="array" ref="F32">IFERROR(IF(_xll.BDP($D32, "PR005")="#N/A Invalid Security", "", _xll.BDP($D32, "PR005")),"")</f>
        <v/>
      </c>
      <c r="G32" s="318" t="str" cm="1">
        <f t="array" ref="G32">IFERROR(IF(_xll.BDP($D32, "RR902")="#N/A Invalid Security", "", _xll.BDP($D32, "RR902")/1000000),"")</f>
        <v/>
      </c>
      <c r="H32" s="304" t="str" cm="1">
        <f t="array" ref="H32">IFERROR(IF(_xll.BDP($D32, "RR472")="#N/A Invalid Security", "", _xll.BDP($D32, "RR472")),"")</f>
        <v/>
      </c>
      <c r="I32" s="318" t="str" cm="1">
        <f t="array" ref="I32">IFERROR(IF(_xll.BDP($D32, "IS010")="#N/A Invalid Security", "", _xll.BDP($D32, "IS010")),"")</f>
        <v/>
      </c>
      <c r="J32" s="322" t="str" cm="1">
        <f t="array" ref="J32">IFERROR(IF(_xll.BDP($D32, "RR009")="#N/A Invalid Security", "", _xll.BDP($D32, "RR009")),"")</f>
        <v/>
      </c>
      <c r="K32" s="318" t="str" cm="1">
        <f t="array" ref="K32">IFERROR(IF(_xll.BDP($D32, "IS810")="#N/A Invalid Security", "", _xll.BDP($D32, "IS810")),"")</f>
        <v/>
      </c>
      <c r="L32" s="302" t="str" cm="1">
        <f t="array" ref="L32">IFERROR(IF(_xll.BDP($D32, "RR957")="#N/A Invalid Security", "", _xll.BDP($D32, "RR957")),"")</f>
        <v/>
      </c>
      <c r="M32" s="302" t="str" cm="1">
        <f t="array" ref="M32">IFERROR(IF(_xll.BDP($D32, "RR956")="#N/A Invalid Security", "", _xll.BDP($D32, "RR956")),"")</f>
        <v/>
      </c>
      <c r="N32" s="318" t="str" cm="1">
        <f t="array" ref="N32">IFERROR(IF(_xll.BDP($D32, "RR052")="#N/A Invalid Security", "", _xll.BDP($D32, "RR052")),"")</f>
        <v/>
      </c>
      <c r="O32" s="318" t="str" cm="1">
        <f t="array" ref="O32">IFERROR(IF(_xll.BDP($D32, "BE051")="#N/A Invalid Security", "", _xll.BDP($D32, "BE051")),"")</f>
        <v/>
      </c>
    </row>
    <row r="33" spans="3:15" x14ac:dyDescent="0.25">
      <c r="C33" s="66"/>
      <c r="D33" s="317" t="str">
        <f t="shared" si="6"/>
        <v/>
      </c>
      <c r="E33" s="317" t="str" cm="1">
        <f t="array" ref="E33">IFERROR(IF(_xll.BDP(D33, "DS002")="#N/A Invalid Security", "", _xll.BDP(D33, "DS002")),"")</f>
        <v/>
      </c>
      <c r="F33" s="318" t="str" cm="1">
        <f t="array" ref="F33">IFERROR(IF(_xll.BDP($D33, "PR005")="#N/A Invalid Security", "", _xll.BDP($D33, "PR005")),"")</f>
        <v/>
      </c>
      <c r="G33" s="318" t="str" cm="1">
        <f t="array" ref="G33">IFERROR(IF(_xll.BDP($D33, "RR902")="#N/A Invalid Security", "", _xll.BDP($D33, "RR902")/1000000),"")</f>
        <v/>
      </c>
      <c r="H33" s="304" t="str" cm="1">
        <f t="array" ref="H33">IFERROR(IF(_xll.BDP($D33, "RR472")="#N/A Invalid Security", "", _xll.BDP($D33, "RR472")),"")</f>
        <v/>
      </c>
      <c r="I33" s="318" t="str" cm="1">
        <f t="array" ref="I33">IFERROR(IF(_xll.BDP($D33, "IS010")="#N/A Invalid Security", "", _xll.BDP($D33, "IS010")),"")</f>
        <v/>
      </c>
      <c r="J33" s="322" t="str" cm="1">
        <f t="array" ref="J33">IFERROR(IF(_xll.BDP($D33, "RR009")="#N/A Invalid Security", "", _xll.BDP($D33, "RR009")),"")</f>
        <v/>
      </c>
      <c r="K33" s="318" t="str" cm="1">
        <f t="array" ref="K33">IFERROR(IF(_xll.BDP($D33, "IS810")="#N/A Invalid Security", "", _xll.BDP($D33, "IS810")),"")</f>
        <v/>
      </c>
      <c r="L33" s="302" t="str" cm="1">
        <f t="array" ref="L33">IFERROR(IF(_xll.BDP($D33, "RR957")="#N/A Invalid Security", "", _xll.BDP($D33, "RR957")),"")</f>
        <v/>
      </c>
      <c r="M33" s="302" t="str" cm="1">
        <f t="array" ref="M33">IFERROR(IF(_xll.BDP($D33, "RR956")="#N/A Invalid Security", "", _xll.BDP($D33, "RR956")),"")</f>
        <v/>
      </c>
      <c r="N33" s="318" t="str" cm="1">
        <f t="array" ref="N33">IFERROR(IF(_xll.BDP($D33, "RR052")="#N/A Invalid Security", "", _xll.BDP($D33, "RR052")),"")</f>
        <v/>
      </c>
      <c r="O33" s="318" t="str" cm="1">
        <f t="array" ref="O33">IFERROR(IF(_xll.BDP($D33, "BE051")="#N/A Invalid Security", "", _xll.BDP($D33, "BE051")),"")</f>
        <v/>
      </c>
    </row>
    <row r="34" spans="3:15" x14ac:dyDescent="0.25">
      <c r="C34" s="66"/>
      <c r="D34" s="317" t="str">
        <f t="shared" si="6"/>
        <v/>
      </c>
      <c r="E34" s="317" t="str" cm="1">
        <f t="array" ref="E34">IFERROR(IF(_xll.BDP(D34, "DS002")="#N/A Invalid Security", "", _xll.BDP(D34, "DS002")),"")</f>
        <v/>
      </c>
      <c r="F34" s="318" t="str" cm="1">
        <f t="array" ref="F34">IFERROR(IF(_xll.BDP($D34, "PR005")="#N/A Invalid Security", "", _xll.BDP($D34, "PR005")),"")</f>
        <v/>
      </c>
      <c r="G34" s="318" t="str" cm="1">
        <f t="array" ref="G34">IFERROR(IF(_xll.BDP($D34, "RR902")="#N/A Invalid Security", "", _xll.BDP($D34, "RR902")/1000000),"")</f>
        <v/>
      </c>
      <c r="H34" s="304" t="str" cm="1">
        <f t="array" ref="H34">IFERROR(IF(_xll.BDP($D34, "RR472")="#N/A Invalid Security", "", _xll.BDP($D34, "RR472")),"")</f>
        <v/>
      </c>
      <c r="I34" s="318" t="str" cm="1">
        <f t="array" ref="I34">IFERROR(IF(_xll.BDP($D34, "IS010")="#N/A Invalid Security", "", _xll.BDP($D34, "IS010")),"")</f>
        <v/>
      </c>
      <c r="J34" s="322" t="str" cm="1">
        <f t="array" ref="J34">IFERROR(IF(_xll.BDP($D34, "RR009")="#N/A Invalid Security", "", _xll.BDP($D34, "RR009")),"")</f>
        <v/>
      </c>
      <c r="K34" s="318" t="str" cm="1">
        <f t="array" ref="K34">IFERROR(IF(_xll.BDP($D34, "IS810")="#N/A Invalid Security", "", _xll.BDP($D34, "IS810")),"")</f>
        <v/>
      </c>
      <c r="L34" s="302" t="str" cm="1">
        <f t="array" ref="L34">IFERROR(IF(_xll.BDP($D34, "RR957")="#N/A Invalid Security", "", _xll.BDP($D34, "RR957")),"")</f>
        <v/>
      </c>
      <c r="M34" s="302" t="str" cm="1">
        <f t="array" ref="M34">IFERROR(IF(_xll.BDP($D34, "RR956")="#N/A Invalid Security", "", _xll.BDP($D34, "RR956")),"")</f>
        <v/>
      </c>
      <c r="N34" s="318" t="str" cm="1">
        <f t="array" ref="N34">IFERROR(IF(_xll.BDP($D34, "RR052")="#N/A Invalid Security", "", _xll.BDP($D34, "RR052")),"")</f>
        <v/>
      </c>
      <c r="O34" s="318" t="str" cm="1">
        <f t="array" ref="O34">IFERROR(IF(_xll.BDP($D34, "BE051")="#N/A Invalid Security", "", _xll.BDP($D34, "BE051")),"")</f>
        <v/>
      </c>
    </row>
    <row r="35" spans="3:15" x14ac:dyDescent="0.25">
      <c r="C35" s="66"/>
      <c r="D35" s="317" t="str">
        <f t="shared" si="6"/>
        <v/>
      </c>
      <c r="E35" s="317" t="str" cm="1">
        <f t="array" ref="E35">IFERROR(IF(_xll.BDP(D35, "DS002")="#N/A Invalid Security", "", _xll.BDP(D35, "DS002")),"")</f>
        <v/>
      </c>
      <c r="F35" s="318" t="str" cm="1">
        <f t="array" ref="F35">IFERROR(IF(_xll.BDP($D35, "PR005")="#N/A Invalid Security", "", _xll.BDP($D35, "PR005")),"")</f>
        <v/>
      </c>
      <c r="G35" s="318" t="str" cm="1">
        <f t="array" ref="G35">IFERROR(IF(_xll.BDP($D35, "RR902")="#N/A Invalid Security", "", _xll.BDP($D35, "RR902")/1000000),"")</f>
        <v/>
      </c>
      <c r="H35" s="304" t="str" cm="1">
        <f t="array" ref="H35">IFERROR(IF(_xll.BDP($D35, "RR472")="#N/A Invalid Security", "", _xll.BDP($D35, "RR472")),"")</f>
        <v/>
      </c>
      <c r="I35" s="318" t="str" cm="1">
        <f t="array" ref="I35">IFERROR(IF(_xll.BDP($D35, "IS010")="#N/A Invalid Security", "", _xll.BDP($D35, "IS010")),"")</f>
        <v/>
      </c>
      <c r="J35" s="322" t="str" cm="1">
        <f t="array" ref="J35">IFERROR(IF(_xll.BDP($D35, "RR009")="#N/A Invalid Security", "", _xll.BDP($D35, "RR009")),"")</f>
        <v/>
      </c>
      <c r="K35" s="318" t="str" cm="1">
        <f t="array" ref="K35">IFERROR(IF(_xll.BDP($D35, "IS810")="#N/A Invalid Security", "", _xll.BDP($D35, "IS810")),"")</f>
        <v/>
      </c>
      <c r="L35" s="302" t="str" cm="1">
        <f t="array" ref="L35">IFERROR(IF(_xll.BDP($D35, "RR957")="#N/A Invalid Security", "", _xll.BDP($D35, "RR957")),"")</f>
        <v/>
      </c>
      <c r="M35" s="302" t="str" cm="1">
        <f t="array" ref="M35">IFERROR(IF(_xll.BDP($D35, "RR956")="#N/A Invalid Security", "", _xll.BDP($D35, "RR956")),"")</f>
        <v/>
      </c>
      <c r="N35" s="318" t="str" cm="1">
        <f t="array" ref="N35">IFERROR(IF(_xll.BDP($D35, "RR052")="#N/A Invalid Security", "", _xll.BDP($D35, "RR052")),"")</f>
        <v/>
      </c>
      <c r="O35" s="318" t="str" cm="1">
        <f t="array" ref="O35">IFERROR(IF(_xll.BDP($D35, "BE051")="#N/A Invalid Security", "", _xll.BDP($D35, "BE051")),"")</f>
        <v/>
      </c>
    </row>
    <row r="36" spans="3:15" x14ac:dyDescent="0.25">
      <c r="C36" s="66"/>
      <c r="D36" s="317" t="str">
        <f t="shared" si="6"/>
        <v/>
      </c>
      <c r="E36" s="317" t="str" cm="1">
        <f t="array" ref="E36">IFERROR(IF(_xll.BDP(D36, "DS002")="#N/A Invalid Security", "", _xll.BDP(D36, "DS002")),"")</f>
        <v/>
      </c>
      <c r="F36" s="318" t="str" cm="1">
        <f t="array" ref="F36">IFERROR(IF(_xll.BDP($D36, "PR005")="#N/A Invalid Security", "", _xll.BDP($D36, "PR005")),"")</f>
        <v/>
      </c>
      <c r="G36" s="318" t="str" cm="1">
        <f t="array" ref="G36">IFERROR(IF(_xll.BDP($D36, "RR902")="#N/A Invalid Security", "", _xll.BDP($D36, "RR902")/1000000),"")</f>
        <v/>
      </c>
      <c r="H36" s="304" t="str" cm="1">
        <f t="array" ref="H36">IFERROR(IF(_xll.BDP($D36, "RR472")="#N/A Invalid Security", "", _xll.BDP($D36, "RR472")),"")</f>
        <v/>
      </c>
      <c r="I36" s="318" t="str" cm="1">
        <f t="array" ref="I36">IFERROR(IF(_xll.BDP($D36, "IS010")="#N/A Invalid Security", "", _xll.BDP($D36, "IS010")),"")</f>
        <v/>
      </c>
      <c r="J36" s="322" t="str" cm="1">
        <f t="array" ref="J36">IFERROR(IF(_xll.BDP($D36, "RR009")="#N/A Invalid Security", "", _xll.BDP($D36, "RR009")),"")</f>
        <v/>
      </c>
      <c r="K36" s="318" t="str" cm="1">
        <f t="array" ref="K36">IFERROR(IF(_xll.BDP($D36, "IS810")="#N/A Invalid Security", "", _xll.BDP($D36, "IS810")),"")</f>
        <v/>
      </c>
      <c r="L36" s="302" t="str" cm="1">
        <f t="array" ref="L36">IFERROR(IF(_xll.BDP($D36, "RR957")="#N/A Invalid Security", "", _xll.BDP($D36, "RR957")),"")</f>
        <v/>
      </c>
      <c r="M36" s="302" t="str" cm="1">
        <f t="array" ref="M36">IFERROR(IF(_xll.BDP($D36, "RR956")="#N/A Invalid Security", "", _xll.BDP($D36, "RR956")),"")</f>
        <v/>
      </c>
      <c r="N36" s="318" t="str" cm="1">
        <f t="array" ref="N36">IFERROR(IF(_xll.BDP($D36, "RR052")="#N/A Invalid Security", "", _xll.BDP($D36, "RR052")),"")</f>
        <v/>
      </c>
      <c r="O36" s="318" t="str" cm="1">
        <f t="array" ref="O36">IFERROR(IF(_xll.BDP($D36, "BE051")="#N/A Invalid Security", "", _xll.BDP($D36, "BE051")),"")</f>
        <v/>
      </c>
    </row>
    <row r="37" spans="3:15" x14ac:dyDescent="0.25">
      <c r="C37" s="66"/>
      <c r="D37" s="317" t="str">
        <f t="shared" si="6"/>
        <v/>
      </c>
      <c r="E37" s="317" t="str" cm="1">
        <f t="array" ref="E37">IFERROR(IF(_xll.BDP(D37, "DS002")="#N/A Invalid Security", "", _xll.BDP(D37, "DS002")),"")</f>
        <v/>
      </c>
      <c r="F37" s="318" t="str" cm="1">
        <f t="array" ref="F37">IFERROR(IF(_xll.BDP($D37, "PR005")="#N/A Invalid Security", "", _xll.BDP($D37, "PR005")),"")</f>
        <v/>
      </c>
      <c r="G37" s="318" t="str" cm="1">
        <f t="array" ref="G37">IFERROR(IF(_xll.BDP($D37, "RR902")="#N/A Invalid Security", "", _xll.BDP($D37, "RR902")/1000000),"")</f>
        <v/>
      </c>
      <c r="H37" s="304" t="str" cm="1">
        <f t="array" ref="H37">IFERROR(IF(_xll.BDP($D37, "RR472")="#N/A Invalid Security", "", _xll.BDP($D37, "RR472")),"")</f>
        <v/>
      </c>
      <c r="I37" s="318" t="str" cm="1">
        <f t="array" ref="I37">IFERROR(IF(_xll.BDP($D37, "IS010")="#N/A Invalid Security", "", _xll.BDP($D37, "IS010")),"")</f>
        <v/>
      </c>
      <c r="J37" s="322" t="str" cm="1">
        <f t="array" ref="J37">IFERROR(IF(_xll.BDP($D37, "RR009")="#N/A Invalid Security", "", _xll.BDP($D37, "RR009")),"")</f>
        <v/>
      </c>
      <c r="K37" s="318" t="str" cm="1">
        <f t="array" ref="K37">IFERROR(IF(_xll.BDP($D37, "IS810")="#N/A Invalid Security", "", _xll.BDP($D37, "IS810")),"")</f>
        <v/>
      </c>
      <c r="L37" s="302" t="str" cm="1">
        <f t="array" ref="L37">IFERROR(IF(_xll.BDP($D37, "RR957")="#N/A Invalid Security", "", _xll.BDP($D37, "RR957")),"")</f>
        <v/>
      </c>
      <c r="M37" s="302" t="str" cm="1">
        <f t="array" ref="M37">IFERROR(IF(_xll.BDP($D37, "RR956")="#N/A Invalid Security", "", _xll.BDP($D37, "RR956")),"")</f>
        <v/>
      </c>
      <c r="N37" s="318" t="str" cm="1">
        <f t="array" ref="N37">IFERROR(IF(_xll.BDP($D37, "RR052")="#N/A Invalid Security", "", _xll.BDP($D37, "RR052")),"")</f>
        <v/>
      </c>
      <c r="O37" s="318" t="str" cm="1">
        <f t="array" ref="O37">IFERROR(IF(_xll.BDP($D37, "BE051")="#N/A Invalid Security", "", _xll.BDP($D37, "BE051")),"")</f>
        <v/>
      </c>
    </row>
    <row r="38" spans="3:15" x14ac:dyDescent="0.25">
      <c r="C38" s="66"/>
      <c r="D38" s="317" t="str">
        <f t="shared" si="6"/>
        <v/>
      </c>
      <c r="E38" s="317" t="str" cm="1">
        <f t="array" ref="E38">IFERROR(IF(_xll.BDP(D38, "DS002")="#N/A Invalid Security", "", _xll.BDP(D38, "DS002")),"")</f>
        <v/>
      </c>
      <c r="F38" s="318" t="str" cm="1">
        <f t="array" ref="F38">IFERROR(IF(_xll.BDP($D38, "PR005")="#N/A Invalid Security", "", _xll.BDP($D38, "PR005")),"")</f>
        <v/>
      </c>
      <c r="G38" s="318" t="str" cm="1">
        <f t="array" ref="G38">IFERROR(IF(_xll.BDP($D38, "RR902")="#N/A Invalid Security", "", _xll.BDP($D38, "RR902")/1000000),"")</f>
        <v/>
      </c>
      <c r="H38" s="304" t="str" cm="1">
        <f t="array" ref="H38">IFERROR(IF(_xll.BDP($D38, "RR472")="#N/A Invalid Security", "", _xll.BDP($D38, "RR472")),"")</f>
        <v/>
      </c>
      <c r="I38" s="318" t="str" cm="1">
        <f t="array" ref="I38">IFERROR(IF(_xll.BDP($D38, "IS010")="#N/A Invalid Security", "", _xll.BDP($D38, "IS010")),"")</f>
        <v/>
      </c>
      <c r="J38" s="322" t="str" cm="1">
        <f t="array" ref="J38">IFERROR(IF(_xll.BDP($D38, "RR009")="#N/A Invalid Security", "", _xll.BDP($D38, "RR009")),"")</f>
        <v/>
      </c>
      <c r="K38" s="318" t="str" cm="1">
        <f t="array" ref="K38">IFERROR(IF(_xll.BDP($D38, "IS810")="#N/A Invalid Security", "", _xll.BDP($D38, "IS810")),"")</f>
        <v/>
      </c>
      <c r="L38" s="302" t="str" cm="1">
        <f t="array" ref="L38">IFERROR(IF(_xll.BDP($D38, "RR957")="#N/A Invalid Security", "", _xll.BDP($D38, "RR957")),"")</f>
        <v/>
      </c>
      <c r="M38" s="302" t="str" cm="1">
        <f t="array" ref="M38">IFERROR(IF(_xll.BDP($D38, "RR956")="#N/A Invalid Security", "", _xll.BDP($D38, "RR956")),"")</f>
        <v/>
      </c>
      <c r="N38" s="318" t="str" cm="1">
        <f t="array" ref="N38">IFERROR(IF(_xll.BDP($D38, "RR052")="#N/A Invalid Security", "", _xll.BDP($D38, "RR052")),"")</f>
        <v/>
      </c>
      <c r="O38" s="318" t="str" cm="1">
        <f t="array" ref="O38">IFERROR(IF(_xll.BDP($D38, "BE051")="#N/A Invalid Security", "", _xll.BDP($D38, "BE051")),"")</f>
        <v/>
      </c>
    </row>
    <row r="39" spans="3:15" x14ac:dyDescent="0.25">
      <c r="C39" s="66"/>
      <c r="D39" s="317" t="str">
        <f t="shared" si="6"/>
        <v/>
      </c>
      <c r="E39" s="317" t="str" cm="1">
        <f t="array" ref="E39">IFERROR(IF(_xll.BDP(D39, "DS002")="#N/A Invalid Security", "", _xll.BDP(D39, "DS002")),"")</f>
        <v/>
      </c>
      <c r="F39" s="318" t="str" cm="1">
        <f t="array" ref="F39">IFERROR(IF(_xll.BDP($D39, "PR005")="#N/A Invalid Security", "", _xll.BDP($D39, "PR005")),"")</f>
        <v/>
      </c>
      <c r="G39" s="318" t="str" cm="1">
        <f t="array" ref="G39">IFERROR(IF(_xll.BDP($D39, "RR902")="#N/A Invalid Security", "", _xll.BDP($D39, "RR902")/1000000),"")</f>
        <v/>
      </c>
      <c r="H39" s="304" t="str" cm="1">
        <f t="array" ref="H39">IFERROR(IF(_xll.BDP($D39, "RR472")="#N/A Invalid Security", "", _xll.BDP($D39, "RR472")),"")</f>
        <v/>
      </c>
      <c r="I39" s="318" t="str" cm="1">
        <f t="array" ref="I39">IFERROR(IF(_xll.BDP($D39, "IS010")="#N/A Invalid Security", "", _xll.BDP($D39, "IS010")),"")</f>
        <v/>
      </c>
      <c r="J39" s="322" t="str" cm="1">
        <f t="array" ref="J39">IFERROR(IF(_xll.BDP($D39, "RR009")="#N/A Invalid Security", "", _xll.BDP($D39, "RR009")),"")</f>
        <v/>
      </c>
      <c r="K39" s="318" t="str" cm="1">
        <f t="array" ref="K39">IFERROR(IF(_xll.BDP($D39, "IS810")="#N/A Invalid Security", "", _xll.BDP($D39, "IS810")),"")</f>
        <v/>
      </c>
      <c r="L39" s="302" t="str" cm="1">
        <f t="array" ref="L39">IFERROR(IF(_xll.BDP($D39, "RR957")="#N/A Invalid Security", "", _xll.BDP($D39, "RR957")),"")</f>
        <v/>
      </c>
      <c r="M39" s="302" t="str" cm="1">
        <f t="array" ref="M39">IFERROR(IF(_xll.BDP($D39, "RR956")="#N/A Invalid Security", "", _xll.BDP($D39, "RR956")),"")</f>
        <v/>
      </c>
      <c r="N39" s="318" t="str" cm="1">
        <f t="array" ref="N39">IFERROR(IF(_xll.BDP($D39, "RR052")="#N/A Invalid Security", "", _xll.BDP($D39, "RR052")),"")</f>
        <v/>
      </c>
      <c r="O39" s="318" t="str" cm="1">
        <f t="array" ref="O39">IFERROR(IF(_xll.BDP($D39, "BE051")="#N/A Invalid Security", "", _xll.BDP($D39, "BE051")),"")</f>
        <v/>
      </c>
    </row>
    <row r="40" spans="3:15" x14ac:dyDescent="0.25">
      <c r="C40" s="66"/>
      <c r="D40" s="317" t="str">
        <f t="shared" si="6"/>
        <v/>
      </c>
      <c r="E40" s="317" t="str" cm="1">
        <f t="array" ref="E40">IFERROR(IF(_xll.BDP(D40, "DS002")="#N/A Invalid Security", "", _xll.BDP(D40, "DS002")),"")</f>
        <v/>
      </c>
      <c r="F40" s="318" t="str" cm="1">
        <f t="array" ref="F40">IFERROR(IF(_xll.BDP($D40, "PR005")="#N/A Invalid Security", "", _xll.BDP($D40, "PR005")),"")</f>
        <v/>
      </c>
      <c r="G40" s="318" t="str" cm="1">
        <f t="array" ref="G40">IFERROR(IF(_xll.BDP($D40, "RR902")="#N/A Invalid Security", "", _xll.BDP($D40, "RR902")/1000000),"")</f>
        <v/>
      </c>
      <c r="H40" s="304" t="str" cm="1">
        <f t="array" ref="H40">IFERROR(IF(_xll.BDP($D40, "RR472")="#N/A Invalid Security", "", _xll.BDP($D40, "RR472")),"")</f>
        <v/>
      </c>
      <c r="I40" s="318" t="str" cm="1">
        <f t="array" ref="I40">IFERROR(IF(_xll.BDP($D40, "IS010")="#N/A Invalid Security", "", _xll.BDP($D40, "IS010")),"")</f>
        <v/>
      </c>
      <c r="J40" s="322" t="str" cm="1">
        <f t="array" ref="J40">IFERROR(IF(_xll.BDP($D40, "RR009")="#N/A Invalid Security", "", _xll.BDP($D40, "RR009")),"")</f>
        <v/>
      </c>
      <c r="K40" s="318" t="str" cm="1">
        <f t="array" ref="K40">IFERROR(IF(_xll.BDP($D40, "IS810")="#N/A Invalid Security", "", _xll.BDP($D40, "IS810")),"")</f>
        <v/>
      </c>
      <c r="L40" s="302" t="str" cm="1">
        <f t="array" ref="L40">IFERROR(IF(_xll.BDP($D40, "RR957")="#N/A Invalid Security", "", _xll.BDP($D40, "RR957")),"")</f>
        <v/>
      </c>
      <c r="M40" s="302" t="str" cm="1">
        <f t="array" ref="M40">IFERROR(IF(_xll.BDP($D40, "RR956")="#N/A Invalid Security", "", _xll.BDP($D40, "RR956")),"")</f>
        <v/>
      </c>
      <c r="N40" s="318" t="str" cm="1">
        <f t="array" ref="N40">IFERROR(IF(_xll.BDP($D40, "RR052")="#N/A Invalid Security", "", _xll.BDP($D40, "RR052")),"")</f>
        <v/>
      </c>
      <c r="O40" s="318" t="str" cm="1">
        <f t="array" ref="O40">IFERROR(IF(_xll.BDP($D40, "BE051")="#N/A Invalid Security", "", _xll.BDP($D40, "BE051")),"")</f>
        <v/>
      </c>
    </row>
    <row r="41" spans="3:15" x14ac:dyDescent="0.25">
      <c r="C41" s="66"/>
      <c r="D41" s="317" t="str">
        <f t="shared" si="6"/>
        <v/>
      </c>
      <c r="E41" s="317" t="str" cm="1">
        <f t="array" ref="E41">IFERROR(IF(_xll.BDP(D41, "DS002")="#N/A Invalid Security", "", _xll.BDP(D41, "DS002")),"")</f>
        <v/>
      </c>
      <c r="F41" s="318" t="str" cm="1">
        <f t="array" ref="F41">IFERROR(IF(_xll.BDP($D41, "PR005")="#N/A Invalid Security", "", _xll.BDP($D41, "PR005")),"")</f>
        <v/>
      </c>
      <c r="G41" s="318" t="str" cm="1">
        <f t="array" ref="G41">IFERROR(IF(_xll.BDP($D41, "RR902")="#N/A Invalid Security", "", _xll.BDP($D41, "RR902")/1000000),"")</f>
        <v/>
      </c>
      <c r="H41" s="304" t="str" cm="1">
        <f t="array" ref="H41">IFERROR(IF(_xll.BDP($D41, "RR472")="#N/A Invalid Security", "", _xll.BDP($D41, "RR472")),"")</f>
        <v/>
      </c>
      <c r="I41" s="318" t="str" cm="1">
        <f t="array" ref="I41">IFERROR(IF(_xll.BDP($D41, "IS010")="#N/A Invalid Security", "", _xll.BDP($D41, "IS010")),"")</f>
        <v/>
      </c>
      <c r="J41" s="322" t="str" cm="1">
        <f t="array" ref="J41">IFERROR(IF(_xll.BDP($D41, "RR009")="#N/A Invalid Security", "", _xll.BDP($D41, "RR009")),"")</f>
        <v/>
      </c>
      <c r="K41" s="318" t="str" cm="1">
        <f t="array" ref="K41">IFERROR(IF(_xll.BDP($D41, "IS810")="#N/A Invalid Security", "", _xll.BDP($D41, "IS810")),"")</f>
        <v/>
      </c>
      <c r="L41" s="302" t="str" cm="1">
        <f t="array" ref="L41">IFERROR(IF(_xll.BDP($D41, "RR957")="#N/A Invalid Security", "", _xll.BDP($D41, "RR957")),"")</f>
        <v/>
      </c>
      <c r="M41" s="302" t="str" cm="1">
        <f t="array" ref="M41">IFERROR(IF(_xll.BDP($D41, "RR956")="#N/A Invalid Security", "", _xll.BDP($D41, "RR956")),"")</f>
        <v/>
      </c>
      <c r="N41" s="318" t="str" cm="1">
        <f t="array" ref="N41">IFERROR(IF(_xll.BDP($D41, "RR052")="#N/A Invalid Security", "", _xll.BDP($D41, "RR052")),"")</f>
        <v/>
      </c>
      <c r="O41" s="318" t="str" cm="1">
        <f t="array" ref="O41">IFERROR(IF(_xll.BDP($D41, "BE051")="#N/A Invalid Security", "", _xll.BDP($D41, "BE051")),"")</f>
        <v/>
      </c>
    </row>
    <row r="42" spans="3:15" x14ac:dyDescent="0.25">
      <c r="C42" s="66"/>
      <c r="D42" s="317" t="str">
        <f t="shared" si="6"/>
        <v/>
      </c>
      <c r="E42" s="317" t="str" cm="1">
        <f t="array" ref="E42">IFERROR(IF(_xll.BDP(D42, "DS002")="#N/A Invalid Security", "", _xll.BDP(D42, "DS002")),"")</f>
        <v/>
      </c>
      <c r="F42" s="318" t="str" cm="1">
        <f t="array" ref="F42">IFERROR(IF(_xll.BDP($D42, "PR005")="#N/A Invalid Security", "", _xll.BDP($D42, "PR005")),"")</f>
        <v/>
      </c>
      <c r="G42" s="318" t="str" cm="1">
        <f t="array" ref="G42">IFERROR(IF(_xll.BDP($D42, "RR902")="#N/A Invalid Security", "", _xll.BDP($D42, "RR902")/1000000),"")</f>
        <v/>
      </c>
      <c r="H42" s="304" t="str" cm="1">
        <f t="array" ref="H42">IFERROR(IF(_xll.BDP($D42, "RR472")="#N/A Invalid Security", "", _xll.BDP($D42, "RR472")),"")</f>
        <v/>
      </c>
      <c r="I42" s="318" t="str" cm="1">
        <f t="array" ref="I42">IFERROR(IF(_xll.BDP($D42, "IS010")="#N/A Invalid Security", "", _xll.BDP($D42, "IS010")),"")</f>
        <v/>
      </c>
      <c r="J42" s="322" t="str" cm="1">
        <f t="array" ref="J42">IFERROR(IF(_xll.BDP($D42, "RR009")="#N/A Invalid Security", "", _xll.BDP($D42, "RR009")),"")</f>
        <v/>
      </c>
      <c r="K42" s="318" t="str" cm="1">
        <f t="array" ref="K42">IFERROR(IF(_xll.BDP($D42, "IS810")="#N/A Invalid Security", "", _xll.BDP($D42, "IS810")),"")</f>
        <v/>
      </c>
      <c r="L42" s="302" t="str" cm="1">
        <f t="array" ref="L42">IFERROR(IF(_xll.BDP($D42, "RR957")="#N/A Invalid Security", "", _xll.BDP($D42, "RR957")),"")</f>
        <v/>
      </c>
      <c r="M42" s="302" t="str" cm="1">
        <f t="array" ref="M42">IFERROR(IF(_xll.BDP($D42, "RR956")="#N/A Invalid Security", "", _xll.BDP($D42, "RR956")),"")</f>
        <v/>
      </c>
      <c r="N42" s="318" t="str" cm="1">
        <f t="array" ref="N42">IFERROR(IF(_xll.BDP($D42, "RR052")="#N/A Invalid Security", "", _xll.BDP($D42, "RR052")),"")</f>
        <v/>
      </c>
      <c r="O42" s="318" t="str" cm="1">
        <f t="array" ref="O42">IFERROR(IF(_xll.BDP($D42, "BE051")="#N/A Invalid Security", "", _xll.BDP($D42, "BE051")),"")</f>
        <v/>
      </c>
    </row>
    <row r="43" spans="3:15" x14ac:dyDescent="0.25">
      <c r="C43" s="66"/>
      <c r="D43" s="317" t="str">
        <f t="shared" si="6"/>
        <v/>
      </c>
      <c r="E43" s="317" t="str" cm="1">
        <f t="array" ref="E43">IFERROR(IF(_xll.BDP(D43, "DS002")="#N/A Invalid Security", "", _xll.BDP(D43, "DS002")),"")</f>
        <v/>
      </c>
      <c r="F43" s="318" t="str" cm="1">
        <f t="array" ref="F43">IFERROR(IF(_xll.BDP($D43, "PR005")="#N/A Invalid Security", "", _xll.BDP($D43, "PR005")),"")</f>
        <v/>
      </c>
      <c r="G43" s="318" t="str" cm="1">
        <f t="array" ref="G43">IFERROR(IF(_xll.BDP($D43, "RR902")="#N/A Invalid Security", "", _xll.BDP($D43, "RR902")/1000000),"")</f>
        <v/>
      </c>
      <c r="H43" s="304" t="str" cm="1">
        <f t="array" ref="H43">IFERROR(IF(_xll.BDP($D43, "RR472")="#N/A Invalid Security", "", _xll.BDP($D43, "RR472")),"")</f>
        <v/>
      </c>
      <c r="I43" s="318" t="str" cm="1">
        <f t="array" ref="I43">IFERROR(IF(_xll.BDP($D43, "IS010")="#N/A Invalid Security", "", _xll.BDP($D43, "IS010")),"")</f>
        <v/>
      </c>
      <c r="J43" s="322" t="str" cm="1">
        <f t="array" ref="J43">IFERROR(IF(_xll.BDP($D43, "RR009")="#N/A Invalid Security", "", _xll.BDP($D43, "RR009")),"")</f>
        <v/>
      </c>
      <c r="K43" s="318" t="str" cm="1">
        <f t="array" ref="K43">IFERROR(IF(_xll.BDP($D43, "IS810")="#N/A Invalid Security", "", _xll.BDP($D43, "IS810")),"")</f>
        <v/>
      </c>
      <c r="L43" s="302" t="str" cm="1">
        <f t="array" ref="L43">IFERROR(IF(_xll.BDP($D43, "RR957")="#N/A Invalid Security", "", _xll.BDP($D43, "RR957")),"")</f>
        <v/>
      </c>
      <c r="M43" s="302" t="str" cm="1">
        <f t="array" ref="M43">IFERROR(IF(_xll.BDP($D43, "RR956")="#N/A Invalid Security", "", _xll.BDP($D43, "RR956")),"")</f>
        <v/>
      </c>
      <c r="N43" s="318" t="str" cm="1">
        <f t="array" ref="N43">IFERROR(IF(_xll.BDP($D43, "RR052")="#N/A Invalid Security", "", _xll.BDP($D43, "RR052")),"")</f>
        <v/>
      </c>
      <c r="O43" s="318" t="str" cm="1">
        <f t="array" ref="O43">IFERROR(IF(_xll.BDP($D43, "BE051")="#N/A Invalid Security", "", _xll.BDP($D43, "BE051")),"")</f>
        <v/>
      </c>
    </row>
    <row r="44" spans="3:15" x14ac:dyDescent="0.25">
      <c r="C44" s="66"/>
      <c r="D44" s="317" t="str">
        <f t="shared" si="6"/>
        <v/>
      </c>
      <c r="E44" s="317" t="str" cm="1">
        <f t="array" ref="E44">IFERROR(IF(_xll.BDP(D44, "DS002")="#N/A Invalid Security", "", _xll.BDP(D44, "DS002")),"")</f>
        <v/>
      </c>
      <c r="F44" s="318" t="str" cm="1">
        <f t="array" ref="F44">IFERROR(IF(_xll.BDP($D44, "PR005")="#N/A Invalid Security", "", _xll.BDP($D44, "PR005")),"")</f>
        <v/>
      </c>
      <c r="G44" s="318" t="str" cm="1">
        <f t="array" ref="G44">IFERROR(IF(_xll.BDP($D44, "RR902")="#N/A Invalid Security", "", _xll.BDP($D44, "RR902")/1000000),"")</f>
        <v/>
      </c>
      <c r="H44" s="304" t="str" cm="1">
        <f t="array" ref="H44">IFERROR(IF(_xll.BDP($D44, "RR472")="#N/A Invalid Security", "", _xll.BDP($D44, "RR472")),"")</f>
        <v/>
      </c>
      <c r="I44" s="318" t="str" cm="1">
        <f t="array" ref="I44">IFERROR(IF(_xll.BDP($D44, "IS010")="#N/A Invalid Security", "", _xll.BDP($D44, "IS010")),"")</f>
        <v/>
      </c>
      <c r="J44" s="322" t="str" cm="1">
        <f t="array" ref="J44">IFERROR(IF(_xll.BDP($D44, "RR009")="#N/A Invalid Security", "", _xll.BDP($D44, "RR009")),"")</f>
        <v/>
      </c>
      <c r="K44" s="318" t="str" cm="1">
        <f t="array" ref="K44">IFERROR(IF(_xll.BDP($D44, "IS810")="#N/A Invalid Security", "", _xll.BDP($D44, "IS810")),"")</f>
        <v/>
      </c>
      <c r="L44" s="302" t="str" cm="1">
        <f t="array" ref="L44">IFERROR(IF(_xll.BDP($D44, "RR957")="#N/A Invalid Security", "", _xll.BDP($D44, "RR957")),"")</f>
        <v/>
      </c>
      <c r="M44" s="302" t="str" cm="1">
        <f t="array" ref="M44">IFERROR(IF(_xll.BDP($D44, "RR956")="#N/A Invalid Security", "", _xll.BDP($D44, "RR956")),"")</f>
        <v/>
      </c>
      <c r="N44" s="318" t="str" cm="1">
        <f t="array" ref="N44">IFERROR(IF(_xll.BDP($D44, "RR052")="#N/A Invalid Security", "", _xll.BDP($D44, "RR052")),"")</f>
        <v/>
      </c>
      <c r="O44" s="318" t="str" cm="1">
        <f t="array" ref="O44">IFERROR(IF(_xll.BDP($D44, "BE051")="#N/A Invalid Security", "", _xll.BDP($D44, "BE051")),"")</f>
        <v/>
      </c>
    </row>
    <row r="45" spans="3:15" x14ac:dyDescent="0.25">
      <c r="C45" s="66"/>
      <c r="D45" s="317" t="str">
        <f t="shared" si="6"/>
        <v/>
      </c>
      <c r="E45" s="317" t="str" cm="1">
        <f t="array" ref="E45">IFERROR(IF(_xll.BDP(D45, "DS002")="#N/A Invalid Security", "", _xll.BDP(D45, "DS002")),"")</f>
        <v/>
      </c>
      <c r="F45" s="318" t="str" cm="1">
        <f t="array" ref="F45">IFERROR(IF(_xll.BDP($D45, "PR005")="#N/A Invalid Security", "", _xll.BDP($D45, "PR005")),"")</f>
        <v/>
      </c>
      <c r="G45" s="318" t="str" cm="1">
        <f t="array" ref="G45">IFERROR(IF(_xll.BDP($D45, "RR902")="#N/A Invalid Security", "", _xll.BDP($D45, "RR902")/1000000),"")</f>
        <v/>
      </c>
      <c r="H45" s="304" t="str" cm="1">
        <f t="array" ref="H45">IFERROR(IF(_xll.BDP($D45, "RR472")="#N/A Invalid Security", "", _xll.BDP($D45, "RR472")),"")</f>
        <v/>
      </c>
      <c r="I45" s="318" t="str" cm="1">
        <f t="array" ref="I45">IFERROR(IF(_xll.BDP($D45, "IS010")="#N/A Invalid Security", "", _xll.BDP($D45, "IS010")),"")</f>
        <v/>
      </c>
      <c r="J45" s="322" t="str" cm="1">
        <f t="array" ref="J45">IFERROR(IF(_xll.BDP($D45, "RR009")="#N/A Invalid Security", "", _xll.BDP($D45, "RR009")),"")</f>
        <v/>
      </c>
      <c r="K45" s="318" t="str" cm="1">
        <f t="array" ref="K45">IFERROR(IF(_xll.BDP($D45, "IS810")="#N/A Invalid Security", "", _xll.BDP($D45, "IS810")),"")</f>
        <v/>
      </c>
      <c r="L45" s="302" t="str" cm="1">
        <f t="array" ref="L45">IFERROR(IF(_xll.BDP($D45, "RR957")="#N/A Invalid Security", "", _xll.BDP($D45, "RR957")),"")</f>
        <v/>
      </c>
      <c r="M45" s="302" t="str" cm="1">
        <f t="array" ref="M45">IFERROR(IF(_xll.BDP($D45, "RR956")="#N/A Invalid Security", "", _xll.BDP($D45, "RR956")),"")</f>
        <v/>
      </c>
      <c r="N45" s="318" t="str" cm="1">
        <f t="array" ref="N45">IFERROR(IF(_xll.BDP($D45, "RR052")="#N/A Invalid Security", "", _xll.BDP($D45, "RR052")),"")</f>
        <v/>
      </c>
      <c r="O45" s="318" t="str" cm="1">
        <f t="array" ref="O45">IFERROR(IF(_xll.BDP($D45, "BE051")="#N/A Invalid Security", "", _xll.BDP($D45, "BE051")),"")</f>
        <v/>
      </c>
    </row>
    <row r="46" spans="3:15" x14ac:dyDescent="0.25">
      <c r="C46" s="66"/>
      <c r="D46" s="317" t="str">
        <f t="shared" si="6"/>
        <v/>
      </c>
      <c r="E46" s="317" t="str" cm="1">
        <f t="array" ref="E46">IFERROR(IF(_xll.BDP(D46, "DS002")="#N/A Invalid Security", "", _xll.BDP(D46, "DS002")),"")</f>
        <v/>
      </c>
      <c r="F46" s="318" t="str" cm="1">
        <f t="array" ref="F46">IFERROR(IF(_xll.BDP($D46, "PR005")="#N/A Invalid Security", "", _xll.BDP($D46, "PR005")),"")</f>
        <v/>
      </c>
      <c r="G46" s="318" t="str" cm="1">
        <f t="array" ref="G46">IFERROR(IF(_xll.BDP($D46, "RR902")="#N/A Invalid Security", "", _xll.BDP($D46, "RR902")/1000000),"")</f>
        <v/>
      </c>
      <c r="H46" s="304" t="str" cm="1">
        <f t="array" ref="H46">IFERROR(IF(_xll.BDP($D46, "RR472")="#N/A Invalid Security", "", _xll.BDP($D46, "RR472")),"")</f>
        <v/>
      </c>
      <c r="I46" s="318" t="str" cm="1">
        <f t="array" ref="I46">IFERROR(IF(_xll.BDP($D46, "IS010")="#N/A Invalid Security", "", _xll.BDP($D46, "IS010")),"")</f>
        <v/>
      </c>
      <c r="J46" s="322" t="str" cm="1">
        <f t="array" ref="J46">IFERROR(IF(_xll.BDP($D46, "RR009")="#N/A Invalid Security", "", _xll.BDP($D46, "RR009")),"")</f>
        <v/>
      </c>
      <c r="K46" s="318" t="str" cm="1">
        <f t="array" ref="K46">IFERROR(IF(_xll.BDP($D46, "IS810")="#N/A Invalid Security", "", _xll.BDP($D46, "IS810")),"")</f>
        <v/>
      </c>
      <c r="L46" s="302" t="str" cm="1">
        <f t="array" ref="L46">IFERROR(IF(_xll.BDP($D46, "RR957")="#N/A Invalid Security", "", _xll.BDP($D46, "RR957")),"")</f>
        <v/>
      </c>
      <c r="M46" s="302" t="str" cm="1">
        <f t="array" ref="M46">IFERROR(IF(_xll.BDP($D46, "RR956")="#N/A Invalid Security", "", _xll.BDP($D46, "RR956")),"")</f>
        <v/>
      </c>
      <c r="N46" s="318" t="str" cm="1">
        <f t="array" ref="N46">IFERROR(IF(_xll.BDP($D46, "RR052")="#N/A Invalid Security", "", _xll.BDP($D46, "RR052")),"")</f>
        <v/>
      </c>
      <c r="O46" s="318" t="str" cm="1">
        <f t="array" ref="O46">IFERROR(IF(_xll.BDP($D46, "BE051")="#N/A Invalid Security", "", _xll.BDP($D46, "BE051")),"")</f>
        <v/>
      </c>
    </row>
    <row r="47" spans="3:15" x14ac:dyDescent="0.25">
      <c r="C47" s="66"/>
      <c r="D47" s="317" t="str">
        <f t="shared" si="6"/>
        <v/>
      </c>
      <c r="E47" s="317" t="str" cm="1">
        <f t="array" ref="E47">IFERROR(IF(_xll.BDP(D47, "DS002")="#N/A Invalid Security", "", _xll.BDP(D47, "DS002")),"")</f>
        <v/>
      </c>
      <c r="F47" s="318" t="str" cm="1">
        <f t="array" ref="F47">IFERROR(IF(_xll.BDP($D47, "PR005")="#N/A Invalid Security", "", _xll.BDP($D47, "PR005")),"")</f>
        <v/>
      </c>
      <c r="G47" s="318" t="str" cm="1">
        <f t="array" ref="G47">IFERROR(IF(_xll.BDP($D47, "RR902")="#N/A Invalid Security", "", _xll.BDP($D47, "RR902")/1000000),"")</f>
        <v/>
      </c>
      <c r="H47" s="304" t="str" cm="1">
        <f t="array" ref="H47">IFERROR(IF(_xll.BDP($D47, "RR472")="#N/A Invalid Security", "", _xll.BDP($D47, "RR472")),"")</f>
        <v/>
      </c>
      <c r="I47" s="318" t="str" cm="1">
        <f t="array" ref="I47">IFERROR(IF(_xll.BDP($D47, "IS010")="#N/A Invalid Security", "", _xll.BDP($D47, "IS010")),"")</f>
        <v/>
      </c>
      <c r="J47" s="322" t="str" cm="1">
        <f t="array" ref="J47">IFERROR(IF(_xll.BDP($D47, "RR009")="#N/A Invalid Security", "", _xll.BDP($D47, "RR009")),"")</f>
        <v/>
      </c>
      <c r="K47" s="318" t="str" cm="1">
        <f t="array" ref="K47">IFERROR(IF(_xll.BDP($D47, "IS810")="#N/A Invalid Security", "", _xll.BDP($D47, "IS810")),"")</f>
        <v/>
      </c>
      <c r="L47" s="302" t="str" cm="1">
        <f t="array" ref="L47">IFERROR(IF(_xll.BDP($D47, "RR957")="#N/A Invalid Security", "", _xll.BDP($D47, "RR957")),"")</f>
        <v/>
      </c>
      <c r="M47" s="302" t="str" cm="1">
        <f t="array" ref="M47">IFERROR(IF(_xll.BDP($D47, "RR956")="#N/A Invalid Security", "", _xll.BDP($D47, "RR956")),"")</f>
        <v/>
      </c>
      <c r="N47" s="318" t="str" cm="1">
        <f t="array" ref="N47">IFERROR(IF(_xll.BDP($D47, "RR052")="#N/A Invalid Security", "", _xll.BDP($D47, "RR052")),"")</f>
        <v/>
      </c>
      <c r="O47" s="318" t="str" cm="1">
        <f t="array" ref="O47">IFERROR(IF(_xll.BDP($D47, "BE051")="#N/A Invalid Security", "", _xll.BDP($D47, "BE051")),"")</f>
        <v/>
      </c>
    </row>
    <row r="48" spans="3:15" x14ac:dyDescent="0.25">
      <c r="C48" s="66"/>
      <c r="D48" s="317" t="str">
        <f t="shared" si="6"/>
        <v/>
      </c>
      <c r="E48" s="317" t="str" cm="1">
        <f t="array" ref="E48">IFERROR(IF(_xll.BDP(D48, "DS002")="#N/A Invalid Security", "", _xll.BDP(D48, "DS002")),"")</f>
        <v/>
      </c>
      <c r="F48" s="318" t="str" cm="1">
        <f t="array" ref="F48">IFERROR(IF(_xll.BDP($D48, "PR005")="#N/A Invalid Security", "", _xll.BDP($D48, "PR005")),"")</f>
        <v/>
      </c>
      <c r="G48" s="318" t="str" cm="1">
        <f t="array" ref="G48">IFERROR(IF(_xll.BDP($D48, "RR902")="#N/A Invalid Security", "", _xll.BDP($D48, "RR902")/1000000),"")</f>
        <v/>
      </c>
      <c r="H48" s="304" t="str" cm="1">
        <f t="array" ref="H48">IFERROR(IF(_xll.BDP($D48, "RR472")="#N/A Invalid Security", "", _xll.BDP($D48, "RR472")),"")</f>
        <v/>
      </c>
      <c r="I48" s="318" t="str" cm="1">
        <f t="array" ref="I48">IFERROR(IF(_xll.BDP($D48, "IS010")="#N/A Invalid Security", "", _xll.BDP($D48, "IS010")),"")</f>
        <v/>
      </c>
      <c r="J48" s="322" t="str" cm="1">
        <f t="array" ref="J48">IFERROR(IF(_xll.BDP($D48, "RR009")="#N/A Invalid Security", "", _xll.BDP($D48, "RR009")),"")</f>
        <v/>
      </c>
      <c r="K48" s="318" t="str" cm="1">
        <f t="array" ref="K48">IFERROR(IF(_xll.BDP($D48, "IS810")="#N/A Invalid Security", "", _xll.BDP($D48, "IS810")),"")</f>
        <v/>
      </c>
      <c r="L48" s="302" t="str" cm="1">
        <f t="array" ref="L48">IFERROR(IF(_xll.BDP($D48, "RR957")="#N/A Invalid Security", "", _xll.BDP($D48, "RR957")),"")</f>
        <v/>
      </c>
      <c r="M48" s="302" t="str" cm="1">
        <f t="array" ref="M48">IFERROR(IF(_xll.BDP($D48, "RR956")="#N/A Invalid Security", "", _xll.BDP($D48, "RR956")),"")</f>
        <v/>
      </c>
      <c r="N48" s="318" t="str" cm="1">
        <f t="array" ref="N48">IFERROR(IF(_xll.BDP($D48, "RR052")="#N/A Invalid Security", "", _xll.BDP($D48, "RR052")),"")</f>
        <v/>
      </c>
      <c r="O48" s="318" t="str" cm="1">
        <f t="array" ref="O48">IFERROR(IF(_xll.BDP($D48, "BE051")="#N/A Invalid Security", "", _xll.BDP($D48, "BE051")),"")</f>
        <v/>
      </c>
    </row>
    <row r="49" spans="3:15" x14ac:dyDescent="0.25">
      <c r="C49" s="66"/>
      <c r="D49" s="317" t="str">
        <f t="shared" si="6"/>
        <v/>
      </c>
      <c r="E49" s="317" t="str" cm="1">
        <f t="array" ref="E49">IFERROR(IF(_xll.BDP(D49, "DS002")="#N/A Invalid Security", "", _xll.BDP(D49, "DS002")),"")</f>
        <v/>
      </c>
      <c r="F49" s="318" t="str" cm="1">
        <f t="array" ref="F49">IFERROR(IF(_xll.BDP($D49, "PR005")="#N/A Invalid Security", "", _xll.BDP($D49, "PR005")),"")</f>
        <v/>
      </c>
      <c r="G49" s="318" t="str" cm="1">
        <f t="array" ref="G49">IFERROR(IF(_xll.BDP($D49, "RR902")="#N/A Invalid Security", "", _xll.BDP($D49, "RR902")/1000000),"")</f>
        <v/>
      </c>
      <c r="H49" s="304" t="str" cm="1">
        <f t="array" ref="H49">IFERROR(IF(_xll.BDP($D49, "RR472")="#N/A Invalid Security", "", _xll.BDP($D49, "RR472")),"")</f>
        <v/>
      </c>
      <c r="I49" s="318" t="str" cm="1">
        <f t="array" ref="I49">IFERROR(IF(_xll.BDP($D49, "IS010")="#N/A Invalid Security", "", _xll.BDP($D49, "IS010")),"")</f>
        <v/>
      </c>
      <c r="J49" s="322" t="str" cm="1">
        <f t="array" ref="J49">IFERROR(IF(_xll.BDP($D49, "RR009")="#N/A Invalid Security", "", _xll.BDP($D49, "RR009")),"")</f>
        <v/>
      </c>
      <c r="K49" s="318" t="str" cm="1">
        <f t="array" ref="K49">IFERROR(IF(_xll.BDP($D49, "IS810")="#N/A Invalid Security", "", _xll.BDP($D49, "IS810")),"")</f>
        <v/>
      </c>
      <c r="L49" s="302" t="str" cm="1">
        <f t="array" ref="L49">IFERROR(IF(_xll.BDP($D49, "RR957")="#N/A Invalid Security", "", _xll.BDP($D49, "RR957")),"")</f>
        <v/>
      </c>
      <c r="M49" s="302" t="str" cm="1">
        <f t="array" ref="M49">IFERROR(IF(_xll.BDP($D49, "RR956")="#N/A Invalid Security", "", _xll.BDP($D49, "RR956")),"")</f>
        <v/>
      </c>
      <c r="N49" s="318" t="str" cm="1">
        <f t="array" ref="N49">IFERROR(IF(_xll.BDP($D49, "RR052")="#N/A Invalid Security", "", _xll.BDP($D49, "RR052")),"")</f>
        <v/>
      </c>
      <c r="O49" s="318" t="str" cm="1">
        <f t="array" ref="O49">IFERROR(IF(_xll.BDP($D49, "BE051")="#N/A Invalid Security", "", _xll.BDP($D49, "BE051")),"")</f>
        <v/>
      </c>
    </row>
    <row r="50" spans="3:15" x14ac:dyDescent="0.25">
      <c r="C50" s="66"/>
      <c r="D50" s="317" t="str">
        <f t="shared" si="6"/>
        <v/>
      </c>
      <c r="E50" s="317" t="str" cm="1">
        <f t="array" ref="E50">IFERROR(IF(_xll.BDP(D50, "DS002")="#N/A Invalid Security", "", _xll.BDP(D50, "DS002")),"")</f>
        <v/>
      </c>
      <c r="F50" s="318" t="str" cm="1">
        <f t="array" ref="F50">IFERROR(IF(_xll.BDP($D50, "PR005")="#N/A Invalid Security", "", _xll.BDP($D50, "PR005")),"")</f>
        <v/>
      </c>
      <c r="G50" s="318" t="str" cm="1">
        <f t="array" ref="G50">IFERROR(IF(_xll.BDP($D50, "RR902")="#N/A Invalid Security", "", _xll.BDP($D50, "RR902")/1000000),"")</f>
        <v/>
      </c>
      <c r="H50" s="304" t="str" cm="1">
        <f t="array" ref="H50">IFERROR(IF(_xll.BDP($D50, "RR472")="#N/A Invalid Security", "", _xll.BDP($D50, "RR472")),"")</f>
        <v/>
      </c>
      <c r="I50" s="318" t="str" cm="1">
        <f t="array" ref="I50">IFERROR(IF(_xll.BDP($D50, "IS010")="#N/A Invalid Security", "", _xll.BDP($D50, "IS010")),"")</f>
        <v/>
      </c>
      <c r="J50" s="322" t="str" cm="1">
        <f t="array" ref="J50">IFERROR(IF(_xll.BDP($D50, "RR009")="#N/A Invalid Security", "", _xll.BDP($D50, "RR009")),"")</f>
        <v/>
      </c>
      <c r="K50" s="318" t="str" cm="1">
        <f t="array" ref="K50">IFERROR(IF(_xll.BDP($D50, "IS810")="#N/A Invalid Security", "", _xll.BDP($D50, "IS810")),"")</f>
        <v/>
      </c>
      <c r="L50" s="302" t="str" cm="1">
        <f t="array" ref="L50">IFERROR(IF(_xll.BDP($D50, "RR957")="#N/A Invalid Security", "", _xll.BDP($D50, "RR957")),"")</f>
        <v/>
      </c>
      <c r="M50" s="302" t="str" cm="1">
        <f t="array" ref="M50">IFERROR(IF(_xll.BDP($D50, "RR956")="#N/A Invalid Security", "", _xll.BDP($D50, "RR956")),"")</f>
        <v/>
      </c>
      <c r="N50" s="318" t="str" cm="1">
        <f t="array" ref="N50">IFERROR(IF(_xll.BDP($D50, "RR052")="#N/A Invalid Security", "", _xll.BDP($D50, "RR052")),"")</f>
        <v/>
      </c>
      <c r="O50" s="318" t="str" cm="1">
        <f t="array" ref="O50">IFERROR(IF(_xll.BDP($D50, "BE051")="#N/A Invalid Security", "", _xll.BDP($D50, "BE051")),"")</f>
        <v/>
      </c>
    </row>
    <row r="51" spans="3:15" x14ac:dyDescent="0.25">
      <c r="C51" s="66"/>
      <c r="D51" s="317" t="str">
        <f t="shared" si="6"/>
        <v/>
      </c>
      <c r="E51" s="317" t="str" cm="1">
        <f t="array" ref="E51">IFERROR(IF(_xll.BDP(D51, "DS002")="#N/A Invalid Security", "", _xll.BDP(D51, "DS002")),"")</f>
        <v/>
      </c>
      <c r="F51" s="318" t="str" cm="1">
        <f t="array" ref="F51">IFERROR(IF(_xll.BDP($D51, "PR005")="#N/A Invalid Security", "", _xll.BDP($D51, "PR005")),"")</f>
        <v/>
      </c>
      <c r="G51" s="318" t="str" cm="1">
        <f t="array" ref="G51">IFERROR(IF(_xll.BDP($D51, "RR902")="#N/A Invalid Security", "", _xll.BDP($D51, "RR902")/1000000),"")</f>
        <v/>
      </c>
      <c r="H51" s="304" t="str" cm="1">
        <f t="array" ref="H51">IFERROR(IF(_xll.BDP($D51, "RR472")="#N/A Invalid Security", "", _xll.BDP($D51, "RR472")),"")</f>
        <v/>
      </c>
      <c r="I51" s="318" t="str" cm="1">
        <f t="array" ref="I51">IFERROR(IF(_xll.BDP($D51, "IS010")="#N/A Invalid Security", "", _xll.BDP($D51, "IS010")),"")</f>
        <v/>
      </c>
      <c r="J51" s="322" t="str" cm="1">
        <f t="array" ref="J51">IFERROR(IF(_xll.BDP($D51, "RR009")="#N/A Invalid Security", "", _xll.BDP($D51, "RR009")),"")</f>
        <v/>
      </c>
      <c r="K51" s="318" t="str" cm="1">
        <f t="array" ref="K51">IFERROR(IF(_xll.BDP($D51, "IS810")="#N/A Invalid Security", "", _xll.BDP($D51, "IS810")),"")</f>
        <v/>
      </c>
      <c r="L51" s="302" t="str" cm="1">
        <f t="array" ref="L51">IFERROR(IF(_xll.BDP($D51, "RR957")="#N/A Invalid Security", "", _xll.BDP($D51, "RR957")),"")</f>
        <v/>
      </c>
      <c r="M51" s="302" t="str" cm="1">
        <f t="array" ref="M51">IFERROR(IF(_xll.BDP($D51, "RR956")="#N/A Invalid Security", "", _xll.BDP($D51, "RR956")),"")</f>
        <v/>
      </c>
      <c r="N51" s="318" t="str" cm="1">
        <f t="array" ref="N51">IFERROR(IF(_xll.BDP($D51, "RR052")="#N/A Invalid Security", "", _xll.BDP($D51, "RR052")),"")</f>
        <v/>
      </c>
      <c r="O51" s="318" t="str" cm="1">
        <f t="array" ref="O51">IFERROR(IF(_xll.BDP($D51, "BE051")="#N/A Invalid Security", "", _xll.BDP($D51, "BE051")),"")</f>
        <v/>
      </c>
    </row>
    <row r="52" spans="3:15" x14ac:dyDescent="0.25">
      <c r="C52" s="66"/>
      <c r="D52" s="317" t="str">
        <f t="shared" si="6"/>
        <v/>
      </c>
      <c r="E52" s="317" t="str" cm="1">
        <f t="array" ref="E52">IFERROR(IF(_xll.BDP(D52, "DS002")="#N/A Invalid Security", "", _xll.BDP(D52, "DS002")),"")</f>
        <v/>
      </c>
      <c r="F52" s="318" t="str" cm="1">
        <f t="array" ref="F52">IFERROR(IF(_xll.BDP($D52, "PR005")="#N/A Invalid Security", "", _xll.BDP($D52, "PR005")),"")</f>
        <v/>
      </c>
      <c r="G52" s="318" t="str" cm="1">
        <f t="array" ref="G52">IFERROR(IF(_xll.BDP($D52, "RR902")="#N/A Invalid Security", "", _xll.BDP($D52, "RR902")/1000000),"")</f>
        <v/>
      </c>
      <c r="H52" s="304" t="str" cm="1">
        <f t="array" ref="H52">IFERROR(IF(_xll.BDP($D52, "RR472")="#N/A Invalid Security", "", _xll.BDP($D52, "RR472")),"")</f>
        <v/>
      </c>
      <c r="I52" s="318" t="str" cm="1">
        <f t="array" ref="I52">IFERROR(IF(_xll.BDP($D52, "IS010")="#N/A Invalid Security", "", _xll.BDP($D52, "IS010")),"")</f>
        <v/>
      </c>
      <c r="J52" s="322" t="str" cm="1">
        <f t="array" ref="J52">IFERROR(IF(_xll.BDP($D52, "RR009")="#N/A Invalid Security", "", _xll.BDP($D52, "RR009")),"")</f>
        <v/>
      </c>
      <c r="K52" s="318" t="str" cm="1">
        <f t="array" ref="K52">IFERROR(IF(_xll.BDP($D52, "IS810")="#N/A Invalid Security", "", _xll.BDP($D52, "IS810")),"")</f>
        <v/>
      </c>
      <c r="L52" s="302" t="str" cm="1">
        <f t="array" ref="L52">IFERROR(IF(_xll.BDP($D52, "RR957")="#N/A Invalid Security", "", _xll.BDP($D52, "RR957")),"")</f>
        <v/>
      </c>
      <c r="M52" s="302" t="str" cm="1">
        <f t="array" ref="M52">IFERROR(IF(_xll.BDP($D52, "RR956")="#N/A Invalid Security", "", _xll.BDP($D52, "RR956")),"")</f>
        <v/>
      </c>
      <c r="N52" s="318" t="str" cm="1">
        <f t="array" ref="N52">IFERROR(IF(_xll.BDP($D52, "RR052")="#N/A Invalid Security", "", _xll.BDP($D52, "RR052")),"")</f>
        <v/>
      </c>
      <c r="O52" s="318" t="str" cm="1">
        <f t="array" ref="O52">IFERROR(IF(_xll.BDP($D52, "BE051")="#N/A Invalid Security", "", _xll.BDP($D52, "BE051")),"")</f>
        <v/>
      </c>
    </row>
    <row r="53" spans="3:15" x14ac:dyDescent="0.25">
      <c r="C53" s="66"/>
      <c r="D53" s="317" t="str">
        <f t="shared" si="6"/>
        <v/>
      </c>
      <c r="E53" s="317" t="str" cm="1">
        <f t="array" ref="E53">IFERROR(IF(_xll.BDP(D53, "DS002")="#N/A Invalid Security", "", _xll.BDP(D53, "DS002")),"")</f>
        <v/>
      </c>
      <c r="F53" s="318" t="str" cm="1">
        <f t="array" ref="F53">IFERROR(IF(_xll.BDP($D53, "PR005")="#N/A Invalid Security", "", _xll.BDP($D53, "PR005")),"")</f>
        <v/>
      </c>
      <c r="G53" s="318" t="str" cm="1">
        <f t="array" ref="G53">IFERROR(IF(_xll.BDP($D53, "RR902")="#N/A Invalid Security", "", _xll.BDP($D53, "RR902")/1000000),"")</f>
        <v/>
      </c>
      <c r="H53" s="304" t="str" cm="1">
        <f t="array" ref="H53">IFERROR(IF(_xll.BDP($D53, "RR472")="#N/A Invalid Security", "", _xll.BDP($D53, "RR472")),"")</f>
        <v/>
      </c>
      <c r="I53" s="318" t="str" cm="1">
        <f t="array" ref="I53">IFERROR(IF(_xll.BDP($D53, "IS010")="#N/A Invalid Security", "", _xll.BDP($D53, "IS010")),"")</f>
        <v/>
      </c>
      <c r="J53" s="322" t="str" cm="1">
        <f t="array" ref="J53">IFERROR(IF(_xll.BDP($D53, "RR009")="#N/A Invalid Security", "", _xll.BDP($D53, "RR009")),"")</f>
        <v/>
      </c>
      <c r="K53" s="318" t="str" cm="1">
        <f t="array" ref="K53">IFERROR(IF(_xll.BDP($D53, "IS810")="#N/A Invalid Security", "", _xll.BDP($D53, "IS810")),"")</f>
        <v/>
      </c>
      <c r="L53" s="302" t="str" cm="1">
        <f t="array" ref="L53">IFERROR(IF(_xll.BDP($D53, "RR957")="#N/A Invalid Security", "", _xll.BDP($D53, "RR957")),"")</f>
        <v/>
      </c>
      <c r="M53" s="302" t="str" cm="1">
        <f t="array" ref="M53">IFERROR(IF(_xll.BDP($D53, "RR956")="#N/A Invalid Security", "", _xll.BDP($D53, "RR956")),"")</f>
        <v/>
      </c>
      <c r="N53" s="318" t="str" cm="1">
        <f t="array" ref="N53">IFERROR(IF(_xll.BDP($D53, "RR052")="#N/A Invalid Security", "", _xll.BDP($D53, "RR052")),"")</f>
        <v/>
      </c>
      <c r="O53" s="318" t="str" cm="1">
        <f t="array" ref="O53">IFERROR(IF(_xll.BDP($D53, "BE051")="#N/A Invalid Security", "", _xll.BDP($D53, "BE051")),"")</f>
        <v/>
      </c>
    </row>
    <row r="54" spans="3:15" x14ac:dyDescent="0.25">
      <c r="C54" s="66"/>
      <c r="D54" s="317" t="str">
        <f t="shared" si="6"/>
        <v/>
      </c>
      <c r="E54" s="317" t="str" cm="1">
        <f t="array" ref="E54">IFERROR(IF(_xll.BDP(D54, "DS002")="#N/A Invalid Security", "", _xll.BDP(D54, "DS002")),"")</f>
        <v/>
      </c>
      <c r="F54" s="318" t="str" cm="1">
        <f t="array" ref="F54">IFERROR(IF(_xll.BDP($D54, "PR005")="#N/A Invalid Security", "", _xll.BDP($D54, "PR005")),"")</f>
        <v/>
      </c>
      <c r="G54" s="318" t="str" cm="1">
        <f t="array" ref="G54">IFERROR(IF(_xll.BDP($D54, "RR902")="#N/A Invalid Security", "", _xll.BDP($D54, "RR902")/1000000),"")</f>
        <v/>
      </c>
      <c r="H54" s="304" t="str" cm="1">
        <f t="array" ref="H54">IFERROR(IF(_xll.BDP($D54, "RR472")="#N/A Invalid Security", "", _xll.BDP($D54, "RR472")),"")</f>
        <v/>
      </c>
      <c r="I54" s="318" t="str" cm="1">
        <f t="array" ref="I54">IFERROR(IF(_xll.BDP($D54, "IS010")="#N/A Invalid Security", "", _xll.BDP($D54, "IS010")),"")</f>
        <v/>
      </c>
      <c r="J54" s="322" t="str" cm="1">
        <f t="array" ref="J54">IFERROR(IF(_xll.BDP($D54, "RR009")="#N/A Invalid Security", "", _xll.BDP($D54, "RR009")),"")</f>
        <v/>
      </c>
      <c r="K54" s="318" t="str" cm="1">
        <f t="array" ref="K54">IFERROR(IF(_xll.BDP($D54, "IS810")="#N/A Invalid Security", "", _xll.BDP($D54, "IS810")),"")</f>
        <v/>
      </c>
      <c r="L54" s="302" t="str" cm="1">
        <f t="array" ref="L54">IFERROR(IF(_xll.BDP($D54, "RR957")="#N/A Invalid Security", "", _xll.BDP($D54, "RR957")),"")</f>
        <v/>
      </c>
      <c r="M54" s="302" t="str" cm="1">
        <f t="array" ref="M54">IFERROR(IF(_xll.BDP($D54, "RR956")="#N/A Invalid Security", "", _xll.BDP($D54, "RR956")),"")</f>
        <v/>
      </c>
      <c r="N54" s="318" t="str" cm="1">
        <f t="array" ref="N54">IFERROR(IF(_xll.BDP($D54, "RR052")="#N/A Invalid Security", "", _xll.BDP($D54, "RR052")),"")</f>
        <v/>
      </c>
      <c r="O54" s="318" t="str" cm="1">
        <f t="array" ref="O54">IFERROR(IF(_xll.BDP($D54, "BE051")="#N/A Invalid Security", "", _xll.BDP($D54, "BE051")),"")</f>
        <v/>
      </c>
    </row>
    <row r="55" spans="3:15" x14ac:dyDescent="0.25">
      <c r="C55" s="66"/>
      <c r="D55" s="317" t="str">
        <f t="shared" si="6"/>
        <v/>
      </c>
      <c r="E55" s="317" t="str" cm="1">
        <f t="array" ref="E55">IFERROR(IF(_xll.BDP(D55, "DS002")="#N/A Invalid Security", "", _xll.BDP(D55, "DS002")),"")</f>
        <v/>
      </c>
      <c r="F55" s="318" t="str" cm="1">
        <f t="array" ref="F55">IFERROR(IF(_xll.BDP($D55, "PR005")="#N/A Invalid Security", "", _xll.BDP($D55, "PR005")),"")</f>
        <v/>
      </c>
      <c r="G55" s="318" t="str" cm="1">
        <f t="array" ref="G55">IFERROR(IF(_xll.BDP($D55, "RR902")="#N/A Invalid Security", "", _xll.BDP($D55, "RR902")/1000000),"")</f>
        <v/>
      </c>
      <c r="H55" s="304" t="str" cm="1">
        <f t="array" ref="H55">IFERROR(IF(_xll.BDP($D55, "RR472")="#N/A Invalid Security", "", _xll.BDP($D55, "RR472")),"")</f>
        <v/>
      </c>
      <c r="I55" s="318" t="str" cm="1">
        <f t="array" ref="I55">IFERROR(IF(_xll.BDP($D55, "IS010")="#N/A Invalid Security", "", _xll.BDP($D55, "IS010")),"")</f>
        <v/>
      </c>
      <c r="J55" s="322" t="str" cm="1">
        <f t="array" ref="J55">IFERROR(IF(_xll.BDP($D55, "RR009")="#N/A Invalid Security", "", _xll.BDP($D55, "RR009")),"")</f>
        <v/>
      </c>
      <c r="K55" s="318" t="str" cm="1">
        <f t="array" ref="K55">IFERROR(IF(_xll.BDP($D55, "IS810")="#N/A Invalid Security", "", _xll.BDP($D55, "IS810")),"")</f>
        <v/>
      </c>
      <c r="L55" s="302" t="str" cm="1">
        <f t="array" ref="L55">IFERROR(IF(_xll.BDP($D55, "RR957")="#N/A Invalid Security", "", _xll.BDP($D55, "RR957")),"")</f>
        <v/>
      </c>
      <c r="M55" s="302" t="str" cm="1">
        <f t="array" ref="M55">IFERROR(IF(_xll.BDP($D55, "RR956")="#N/A Invalid Security", "", _xll.BDP($D55, "RR956")),"")</f>
        <v/>
      </c>
      <c r="N55" s="318" t="str" cm="1">
        <f t="array" ref="N55">IFERROR(IF(_xll.BDP($D55, "RR052")="#N/A Invalid Security", "", _xll.BDP($D55, "RR052")),"")</f>
        <v/>
      </c>
      <c r="O55" s="318" t="str" cm="1">
        <f t="array" ref="O55">IFERROR(IF(_xll.BDP($D55, "BE051")="#N/A Invalid Security", "", _xll.BDP($D55, "BE051")),"")</f>
        <v/>
      </c>
    </row>
    <row r="56" spans="3:15" x14ac:dyDescent="0.25">
      <c r="C56" s="66"/>
      <c r="D56" s="317" t="str">
        <f t="shared" si="6"/>
        <v/>
      </c>
      <c r="E56" s="317" t="str" cm="1">
        <f t="array" ref="E56">IFERROR(IF(_xll.BDP(D56, "DS002")="#N/A Invalid Security", "", _xll.BDP(D56, "DS002")),"")</f>
        <v/>
      </c>
      <c r="F56" s="318" t="str" cm="1">
        <f t="array" ref="F56">IFERROR(IF(_xll.BDP($D56, "PR005")="#N/A Invalid Security", "", _xll.BDP($D56, "PR005")),"")</f>
        <v/>
      </c>
      <c r="G56" s="318" t="str" cm="1">
        <f t="array" ref="G56">IFERROR(IF(_xll.BDP($D56, "RR902")="#N/A Invalid Security", "", _xll.BDP($D56, "RR902")/1000000),"")</f>
        <v/>
      </c>
      <c r="H56" s="304" t="str" cm="1">
        <f t="array" ref="H56">IFERROR(IF(_xll.BDP($D56, "RR472")="#N/A Invalid Security", "", _xll.BDP($D56, "RR472")),"")</f>
        <v/>
      </c>
      <c r="I56" s="318" t="str" cm="1">
        <f t="array" ref="I56">IFERROR(IF(_xll.BDP($D56, "IS010")="#N/A Invalid Security", "", _xll.BDP($D56, "IS010")),"")</f>
        <v/>
      </c>
      <c r="J56" s="322" t="str" cm="1">
        <f t="array" ref="J56">IFERROR(IF(_xll.BDP($D56, "RR009")="#N/A Invalid Security", "", _xll.BDP($D56, "RR009")),"")</f>
        <v/>
      </c>
      <c r="K56" s="318" t="str" cm="1">
        <f t="array" ref="K56">IFERROR(IF(_xll.BDP($D56, "IS810")="#N/A Invalid Security", "", _xll.BDP($D56, "IS810")),"")</f>
        <v/>
      </c>
      <c r="L56" s="302" t="str" cm="1">
        <f t="array" ref="L56">IFERROR(IF(_xll.BDP($D56, "RR957")="#N/A Invalid Security", "", _xll.BDP($D56, "RR957")),"")</f>
        <v/>
      </c>
      <c r="M56" s="302" t="str" cm="1">
        <f t="array" ref="M56">IFERROR(IF(_xll.BDP($D56, "RR956")="#N/A Invalid Security", "", _xll.BDP($D56, "RR956")),"")</f>
        <v/>
      </c>
      <c r="N56" s="318" t="str" cm="1">
        <f t="array" ref="N56">IFERROR(IF(_xll.BDP($D56, "RR052")="#N/A Invalid Security", "", _xll.BDP($D56, "RR052")),"")</f>
        <v/>
      </c>
      <c r="O56" s="318" t="str" cm="1">
        <f t="array" ref="O56">IFERROR(IF(_xll.BDP($D56, "BE051")="#N/A Invalid Security", "", _xll.BDP($D56, "BE051")),"")</f>
        <v/>
      </c>
    </row>
    <row r="57" spans="3:15" x14ac:dyDescent="0.25">
      <c r="C57" s="66"/>
      <c r="D57" s="317" t="str">
        <f t="shared" si="6"/>
        <v/>
      </c>
      <c r="E57" s="317" t="str" cm="1">
        <f t="array" ref="E57">IFERROR(IF(_xll.BDP(D57, "DS002")="#N/A Invalid Security", "", _xll.BDP(D57, "DS002")),"")</f>
        <v/>
      </c>
      <c r="F57" s="318" t="str" cm="1">
        <f t="array" ref="F57">IFERROR(IF(_xll.BDP($D57, "PR005")="#N/A Invalid Security", "", _xll.BDP($D57, "PR005")),"")</f>
        <v/>
      </c>
      <c r="G57" s="318" t="str" cm="1">
        <f t="array" ref="G57">IFERROR(IF(_xll.BDP($D57, "RR902")="#N/A Invalid Security", "", _xll.BDP($D57, "RR902")/1000000),"")</f>
        <v/>
      </c>
      <c r="H57" s="304" t="str" cm="1">
        <f t="array" ref="H57">IFERROR(IF(_xll.BDP($D57, "RR472")="#N/A Invalid Security", "", _xll.BDP($D57, "RR472")),"")</f>
        <v/>
      </c>
      <c r="I57" s="318" t="str" cm="1">
        <f t="array" ref="I57">IFERROR(IF(_xll.BDP($D57, "IS010")="#N/A Invalid Security", "", _xll.BDP($D57, "IS010")),"")</f>
        <v/>
      </c>
      <c r="J57" s="322" t="str" cm="1">
        <f t="array" ref="J57">IFERROR(IF(_xll.BDP($D57, "RR009")="#N/A Invalid Security", "", _xll.BDP($D57, "RR009")),"")</f>
        <v/>
      </c>
      <c r="K57" s="318" t="str" cm="1">
        <f t="array" ref="K57">IFERROR(IF(_xll.BDP($D57, "IS810")="#N/A Invalid Security", "", _xll.BDP($D57, "IS810")),"")</f>
        <v/>
      </c>
      <c r="L57" s="302" t="str" cm="1">
        <f t="array" ref="L57">IFERROR(IF(_xll.BDP($D57, "RR957")="#N/A Invalid Security", "", _xll.BDP($D57, "RR957")),"")</f>
        <v/>
      </c>
      <c r="M57" s="302" t="str" cm="1">
        <f t="array" ref="M57">IFERROR(IF(_xll.BDP($D57, "RR956")="#N/A Invalid Security", "", _xll.BDP($D57, "RR956")),"")</f>
        <v/>
      </c>
      <c r="N57" s="318" t="str" cm="1">
        <f t="array" ref="N57">IFERROR(IF(_xll.BDP($D57, "RR052")="#N/A Invalid Security", "", _xll.BDP($D57, "RR052")),"")</f>
        <v/>
      </c>
      <c r="O57" s="318" t="str" cm="1">
        <f t="array" ref="O57">IFERROR(IF(_xll.BDP($D57, "BE051")="#N/A Invalid Security", "", _xll.BDP($D57, "BE051")),"")</f>
        <v/>
      </c>
    </row>
    <row r="58" spans="3:15" x14ac:dyDescent="0.25">
      <c r="C58" s="66"/>
      <c r="D58" s="317" t="str">
        <f t="shared" si="6"/>
        <v/>
      </c>
      <c r="E58" s="317" t="str" cm="1">
        <f t="array" ref="E58">IFERROR(IF(_xll.BDP(D58, "DS002")="#N/A Invalid Security", "", _xll.BDP(D58, "DS002")),"")</f>
        <v/>
      </c>
      <c r="F58" s="318" t="str" cm="1">
        <f t="array" ref="F58">IFERROR(IF(_xll.BDP($D58, "PR005")="#N/A Invalid Security", "", _xll.BDP($D58, "PR005")),"")</f>
        <v/>
      </c>
      <c r="G58" s="318" t="str" cm="1">
        <f t="array" ref="G58">IFERROR(IF(_xll.BDP($D58, "RR902")="#N/A Invalid Security", "", _xll.BDP($D58, "RR902")/1000000),"")</f>
        <v/>
      </c>
      <c r="H58" s="304" t="str" cm="1">
        <f t="array" ref="H58">IFERROR(IF(_xll.BDP($D58, "RR472")="#N/A Invalid Security", "", _xll.BDP($D58, "RR472")),"")</f>
        <v/>
      </c>
      <c r="I58" s="318" t="str" cm="1">
        <f t="array" ref="I58">IFERROR(IF(_xll.BDP($D58, "IS010")="#N/A Invalid Security", "", _xll.BDP($D58, "IS010")),"")</f>
        <v/>
      </c>
      <c r="J58" s="322" t="str" cm="1">
        <f t="array" ref="J58">IFERROR(IF(_xll.BDP($D58, "RR009")="#N/A Invalid Security", "", _xll.BDP($D58, "RR009")),"")</f>
        <v/>
      </c>
      <c r="K58" s="318" t="str" cm="1">
        <f t="array" ref="K58">IFERROR(IF(_xll.BDP($D58, "IS810")="#N/A Invalid Security", "", _xll.BDP($D58, "IS810")),"")</f>
        <v/>
      </c>
      <c r="L58" s="302" t="str" cm="1">
        <f t="array" ref="L58">IFERROR(IF(_xll.BDP($D58, "RR957")="#N/A Invalid Security", "", _xll.BDP($D58, "RR957")),"")</f>
        <v/>
      </c>
      <c r="M58" s="302" t="str" cm="1">
        <f t="array" ref="M58">IFERROR(IF(_xll.BDP($D58, "RR956")="#N/A Invalid Security", "", _xll.BDP($D58, "RR956")),"")</f>
        <v/>
      </c>
      <c r="N58" s="318" t="str" cm="1">
        <f t="array" ref="N58">IFERROR(IF(_xll.BDP($D58, "RR052")="#N/A Invalid Security", "", _xll.BDP($D58, "RR052")),"")</f>
        <v/>
      </c>
      <c r="O58" s="318" t="str" cm="1">
        <f t="array" ref="O58">IFERROR(IF(_xll.BDP($D58, "BE051")="#N/A Invalid Security", "", _xll.BDP($D58, "BE051")),"")</f>
        <v/>
      </c>
    </row>
    <row r="59" spans="3:15" x14ac:dyDescent="0.25">
      <c r="C59" s="66"/>
      <c r="D59" s="317" t="str">
        <f t="shared" si="6"/>
        <v/>
      </c>
      <c r="E59" s="317" t="str" cm="1">
        <f t="array" ref="E59">IFERROR(IF(_xll.BDP(D59, "DS002")="#N/A Invalid Security", "", _xll.BDP(D59, "DS002")),"")</f>
        <v/>
      </c>
      <c r="F59" s="318" t="str" cm="1">
        <f t="array" ref="F59">IFERROR(IF(_xll.BDP($D59, "PR005")="#N/A Invalid Security", "", _xll.BDP($D59, "PR005")),"")</f>
        <v/>
      </c>
      <c r="G59" s="318" t="str" cm="1">
        <f t="array" ref="G59">IFERROR(IF(_xll.BDP($D59, "RR902")="#N/A Invalid Security", "", _xll.BDP($D59, "RR902")/1000000),"")</f>
        <v/>
      </c>
      <c r="H59" s="304" t="str" cm="1">
        <f t="array" ref="H59">IFERROR(IF(_xll.BDP($D59, "RR472")="#N/A Invalid Security", "", _xll.BDP($D59, "RR472")),"")</f>
        <v/>
      </c>
      <c r="I59" s="318" t="str" cm="1">
        <f t="array" ref="I59">IFERROR(IF(_xll.BDP($D59, "IS010")="#N/A Invalid Security", "", _xll.BDP($D59, "IS010")),"")</f>
        <v/>
      </c>
      <c r="J59" s="322" t="str" cm="1">
        <f t="array" ref="J59">IFERROR(IF(_xll.BDP($D59, "RR009")="#N/A Invalid Security", "", _xll.BDP($D59, "RR009")),"")</f>
        <v/>
      </c>
      <c r="K59" s="318" t="str" cm="1">
        <f t="array" ref="K59">IFERROR(IF(_xll.BDP($D59, "IS810")="#N/A Invalid Security", "", _xll.BDP($D59, "IS810")),"")</f>
        <v/>
      </c>
      <c r="L59" s="302" t="str" cm="1">
        <f t="array" ref="L59">IFERROR(IF(_xll.BDP($D59, "RR957")="#N/A Invalid Security", "", _xll.BDP($D59, "RR957")),"")</f>
        <v/>
      </c>
      <c r="M59" s="302" t="str" cm="1">
        <f t="array" ref="M59">IFERROR(IF(_xll.BDP($D59, "RR956")="#N/A Invalid Security", "", _xll.BDP($D59, "RR956")),"")</f>
        <v/>
      </c>
      <c r="N59" s="318" t="str" cm="1">
        <f t="array" ref="N59">IFERROR(IF(_xll.BDP($D59, "RR052")="#N/A Invalid Security", "", _xll.BDP($D59, "RR052")),"")</f>
        <v/>
      </c>
      <c r="O59" s="318" t="str" cm="1">
        <f t="array" ref="O59">IFERROR(IF(_xll.BDP($D59, "BE051")="#N/A Invalid Security", "", _xll.BDP($D59, "BE051")),"")</f>
        <v/>
      </c>
    </row>
    <row r="60" spans="3:15" x14ac:dyDescent="0.25">
      <c r="C60" s="66"/>
      <c r="D60" s="317" t="str">
        <f t="shared" si="6"/>
        <v/>
      </c>
      <c r="E60" s="317" t="str" cm="1">
        <f t="array" ref="E60">IFERROR(IF(_xll.BDP(D60, "DS002")="#N/A Invalid Security", "", _xll.BDP(D60, "DS002")),"")</f>
        <v/>
      </c>
      <c r="F60" s="318" t="str" cm="1">
        <f t="array" ref="F60">IFERROR(IF(_xll.BDP($D60, "PR005")="#N/A Invalid Security", "", _xll.BDP($D60, "PR005")),"")</f>
        <v/>
      </c>
      <c r="G60" s="318" t="str" cm="1">
        <f t="array" ref="G60">IFERROR(IF(_xll.BDP($D60, "RR902")="#N/A Invalid Security", "", _xll.BDP($D60, "RR902")/1000000),"")</f>
        <v/>
      </c>
      <c r="H60" s="304" t="str" cm="1">
        <f t="array" ref="H60">IFERROR(IF(_xll.BDP($D60, "RR472")="#N/A Invalid Security", "", _xll.BDP($D60, "RR472")),"")</f>
        <v/>
      </c>
      <c r="I60" s="318" t="str" cm="1">
        <f t="array" ref="I60">IFERROR(IF(_xll.BDP($D60, "IS010")="#N/A Invalid Security", "", _xll.BDP($D60, "IS010")),"")</f>
        <v/>
      </c>
      <c r="J60" s="322" t="str" cm="1">
        <f t="array" ref="J60">IFERROR(IF(_xll.BDP($D60, "RR009")="#N/A Invalid Security", "", _xll.BDP($D60, "RR009")),"")</f>
        <v/>
      </c>
      <c r="K60" s="318" t="str" cm="1">
        <f t="array" ref="K60">IFERROR(IF(_xll.BDP($D60, "IS810")="#N/A Invalid Security", "", _xll.BDP($D60, "IS810")),"")</f>
        <v/>
      </c>
      <c r="L60" s="302" t="str" cm="1">
        <f t="array" ref="L60">IFERROR(IF(_xll.BDP($D60, "RR957")="#N/A Invalid Security", "", _xll.BDP($D60, "RR957")),"")</f>
        <v/>
      </c>
      <c r="M60" s="302" t="str" cm="1">
        <f t="array" ref="M60">IFERROR(IF(_xll.BDP($D60, "RR956")="#N/A Invalid Security", "", _xll.BDP($D60, "RR956")),"")</f>
        <v/>
      </c>
      <c r="N60" s="318" t="str" cm="1">
        <f t="array" ref="N60">IFERROR(IF(_xll.BDP($D60, "RR052")="#N/A Invalid Security", "", _xll.BDP($D60, "RR052")),"")</f>
        <v/>
      </c>
      <c r="O60" s="318" t="str" cm="1">
        <f t="array" ref="O60">IFERROR(IF(_xll.BDP($D60, "BE051")="#N/A Invalid Security", "", _xll.BDP($D60, "BE051")),"")</f>
        <v/>
      </c>
    </row>
    <row r="61" spans="3:15" x14ac:dyDescent="0.25">
      <c r="C61" s="66"/>
      <c r="D61" s="317" t="str">
        <f t="shared" si="6"/>
        <v/>
      </c>
      <c r="E61" s="317" t="str" cm="1">
        <f t="array" ref="E61">IFERROR(IF(_xll.BDP(D61, "DS002")="#N/A Invalid Security", "", _xll.BDP(D61, "DS002")),"")</f>
        <v/>
      </c>
      <c r="F61" s="318" t="str" cm="1">
        <f t="array" ref="F61">IFERROR(IF(_xll.BDP($D61, "PR005")="#N/A Invalid Security", "", _xll.BDP($D61, "PR005")),"")</f>
        <v/>
      </c>
      <c r="G61" s="318" t="str" cm="1">
        <f t="array" ref="G61">IFERROR(IF(_xll.BDP($D61, "RR902")="#N/A Invalid Security", "", _xll.BDP($D61, "RR902")/1000000),"")</f>
        <v/>
      </c>
      <c r="H61" s="304" t="str" cm="1">
        <f t="array" ref="H61">IFERROR(IF(_xll.BDP($D61, "RR472")="#N/A Invalid Security", "", _xll.BDP($D61, "RR472")),"")</f>
        <v/>
      </c>
      <c r="I61" s="318" t="str" cm="1">
        <f t="array" ref="I61">IFERROR(IF(_xll.BDP($D61, "IS010")="#N/A Invalid Security", "", _xll.BDP($D61, "IS010")),"")</f>
        <v/>
      </c>
      <c r="J61" s="322" t="str" cm="1">
        <f t="array" ref="J61">IFERROR(IF(_xll.BDP($D61, "RR009")="#N/A Invalid Security", "", _xll.BDP($D61, "RR009")),"")</f>
        <v/>
      </c>
      <c r="K61" s="318" t="str" cm="1">
        <f t="array" ref="K61">IFERROR(IF(_xll.BDP($D61, "IS810")="#N/A Invalid Security", "", _xll.BDP($D61, "IS810")),"")</f>
        <v/>
      </c>
      <c r="L61" s="302" t="str" cm="1">
        <f t="array" ref="L61">IFERROR(IF(_xll.BDP($D61, "RR957")="#N/A Invalid Security", "", _xll.BDP($D61, "RR957")),"")</f>
        <v/>
      </c>
      <c r="M61" s="302" t="str" cm="1">
        <f t="array" ref="M61">IFERROR(IF(_xll.BDP($D61, "RR956")="#N/A Invalid Security", "", _xll.BDP($D61, "RR956")),"")</f>
        <v/>
      </c>
      <c r="N61" s="318" t="str" cm="1">
        <f t="array" ref="N61">IFERROR(IF(_xll.BDP($D61, "RR052")="#N/A Invalid Security", "", _xll.BDP($D61, "RR052")),"")</f>
        <v/>
      </c>
      <c r="O61" s="318" t="str" cm="1">
        <f t="array" ref="O61">IFERROR(IF(_xll.BDP($D61, "BE051")="#N/A Invalid Security", "", _xll.BDP($D61, "BE051")),"")</f>
        <v/>
      </c>
    </row>
    <row r="62" spans="3:15" x14ac:dyDescent="0.25">
      <c r="C62" s="66"/>
      <c r="D62" s="317" t="str">
        <f t="shared" si="6"/>
        <v/>
      </c>
      <c r="E62" s="317" t="str" cm="1">
        <f t="array" ref="E62">IFERROR(IF(_xll.BDP(D62, "DS002")="#N/A Invalid Security", "", _xll.BDP(D62, "DS002")),"")</f>
        <v/>
      </c>
      <c r="F62" s="318" t="str" cm="1">
        <f t="array" ref="F62">IFERROR(IF(_xll.BDP($D62, "PR005")="#N/A Invalid Security", "", _xll.BDP($D62, "PR005")),"")</f>
        <v/>
      </c>
      <c r="G62" s="318" t="str" cm="1">
        <f t="array" ref="G62">IFERROR(IF(_xll.BDP($D62, "RR902")="#N/A Invalid Security", "", _xll.BDP($D62, "RR902")/1000000),"")</f>
        <v/>
      </c>
      <c r="H62" s="304" t="str" cm="1">
        <f t="array" ref="H62">IFERROR(IF(_xll.BDP($D62, "RR472")="#N/A Invalid Security", "", _xll.BDP($D62, "RR472")),"")</f>
        <v/>
      </c>
      <c r="I62" s="318" t="str" cm="1">
        <f t="array" ref="I62">IFERROR(IF(_xll.BDP($D62, "IS010")="#N/A Invalid Security", "", _xll.BDP($D62, "IS010")),"")</f>
        <v/>
      </c>
      <c r="J62" s="322" t="str" cm="1">
        <f t="array" ref="J62">IFERROR(IF(_xll.BDP($D62, "RR009")="#N/A Invalid Security", "", _xll.BDP($D62, "RR009")),"")</f>
        <v/>
      </c>
      <c r="K62" s="318" t="str" cm="1">
        <f t="array" ref="K62">IFERROR(IF(_xll.BDP($D62, "IS810")="#N/A Invalid Security", "", _xll.BDP($D62, "IS810")),"")</f>
        <v/>
      </c>
      <c r="L62" s="302" t="str" cm="1">
        <f t="array" ref="L62">IFERROR(IF(_xll.BDP($D62, "RR957")="#N/A Invalid Security", "", _xll.BDP($D62, "RR957")),"")</f>
        <v/>
      </c>
      <c r="M62" s="302" t="str" cm="1">
        <f t="array" ref="M62">IFERROR(IF(_xll.BDP($D62, "RR956")="#N/A Invalid Security", "", _xll.BDP($D62, "RR956")),"")</f>
        <v/>
      </c>
      <c r="N62" s="318" t="str" cm="1">
        <f t="array" ref="N62">IFERROR(IF(_xll.BDP($D62, "RR052")="#N/A Invalid Security", "", _xll.BDP($D62, "RR052")),"")</f>
        <v/>
      </c>
      <c r="O62" s="318" t="str" cm="1">
        <f t="array" ref="O62">IFERROR(IF(_xll.BDP($D62, "BE051")="#N/A Invalid Security", "", _xll.BDP($D62, "BE051")),"")</f>
        <v/>
      </c>
    </row>
    <row r="63" spans="3:15" x14ac:dyDescent="0.25">
      <c r="C63" s="66"/>
      <c r="D63" s="317" t="str">
        <f t="shared" si="6"/>
        <v/>
      </c>
      <c r="E63" s="317" t="str" cm="1">
        <f t="array" ref="E63">IFERROR(IF(_xll.BDP(D63, "DS002")="#N/A Invalid Security", "", _xll.BDP(D63, "DS002")),"")</f>
        <v/>
      </c>
      <c r="F63" s="318" t="str" cm="1">
        <f t="array" ref="F63">IFERROR(IF(_xll.BDP($D63, "PR005")="#N/A Invalid Security", "", _xll.BDP($D63, "PR005")),"")</f>
        <v/>
      </c>
      <c r="G63" s="318" t="str" cm="1">
        <f t="array" ref="G63">IFERROR(IF(_xll.BDP($D63, "RR902")="#N/A Invalid Security", "", _xll.BDP($D63, "RR902")/1000000),"")</f>
        <v/>
      </c>
      <c r="H63" s="304" t="str" cm="1">
        <f t="array" ref="H63">IFERROR(IF(_xll.BDP($D63, "RR472")="#N/A Invalid Security", "", _xll.BDP($D63, "RR472")),"")</f>
        <v/>
      </c>
      <c r="I63" s="318" t="str" cm="1">
        <f t="array" ref="I63">IFERROR(IF(_xll.BDP($D63, "IS010")="#N/A Invalid Security", "", _xll.BDP($D63, "IS010")),"")</f>
        <v/>
      </c>
      <c r="J63" s="322" t="str" cm="1">
        <f t="array" ref="J63">IFERROR(IF(_xll.BDP($D63, "RR009")="#N/A Invalid Security", "", _xll.BDP($D63, "RR009")),"")</f>
        <v/>
      </c>
      <c r="K63" s="318" t="str" cm="1">
        <f t="array" ref="K63">IFERROR(IF(_xll.BDP($D63, "IS810")="#N/A Invalid Security", "", _xll.BDP($D63, "IS810")),"")</f>
        <v/>
      </c>
      <c r="L63" s="302" t="str" cm="1">
        <f t="array" ref="L63">IFERROR(IF(_xll.BDP($D63, "RR957")="#N/A Invalid Security", "", _xll.BDP($D63, "RR957")),"")</f>
        <v/>
      </c>
      <c r="M63" s="302" t="str" cm="1">
        <f t="array" ref="M63">IFERROR(IF(_xll.BDP($D63, "RR956")="#N/A Invalid Security", "", _xll.BDP($D63, "RR956")),"")</f>
        <v/>
      </c>
      <c r="N63" s="318" t="str" cm="1">
        <f t="array" ref="N63">IFERROR(IF(_xll.BDP($D63, "RR052")="#N/A Invalid Security", "", _xll.BDP($D63, "RR052")),"")</f>
        <v/>
      </c>
      <c r="O63" s="318" t="str" cm="1">
        <f t="array" ref="O63">IFERROR(IF(_xll.BDP($D63, "BE051")="#N/A Invalid Security", "", _xll.BDP($D63, "BE051")),"")</f>
        <v/>
      </c>
    </row>
    <row r="64" spans="3:15" x14ac:dyDescent="0.25">
      <c r="C64" s="66"/>
      <c r="D64" s="317" t="str">
        <f t="shared" si="6"/>
        <v/>
      </c>
      <c r="E64" s="317" t="str" cm="1">
        <f t="array" ref="E64">IFERROR(IF(_xll.BDP(D64, "DS002")="#N/A Invalid Security", "", _xll.BDP(D64, "DS002")),"")</f>
        <v/>
      </c>
      <c r="F64" s="318" t="str" cm="1">
        <f t="array" ref="F64">IFERROR(IF(_xll.BDP($D64, "PR005")="#N/A Invalid Security", "", _xll.BDP($D64, "PR005")),"")</f>
        <v/>
      </c>
      <c r="G64" s="318" t="str" cm="1">
        <f t="array" ref="G64">IFERROR(IF(_xll.BDP($D64, "RR902")="#N/A Invalid Security", "", _xll.BDP($D64, "RR902")/1000000),"")</f>
        <v/>
      </c>
      <c r="H64" s="304" t="str" cm="1">
        <f t="array" ref="H64">IFERROR(IF(_xll.BDP($D64, "RR472")="#N/A Invalid Security", "", _xll.BDP($D64, "RR472")),"")</f>
        <v/>
      </c>
      <c r="I64" s="318" t="str" cm="1">
        <f t="array" ref="I64">IFERROR(IF(_xll.BDP($D64, "IS010")="#N/A Invalid Security", "", _xll.BDP($D64, "IS010")),"")</f>
        <v/>
      </c>
      <c r="J64" s="322" t="str" cm="1">
        <f t="array" ref="J64">IFERROR(IF(_xll.BDP($D64, "RR009")="#N/A Invalid Security", "", _xll.BDP($D64, "RR009")),"")</f>
        <v/>
      </c>
      <c r="K64" s="318" t="str" cm="1">
        <f t="array" ref="K64">IFERROR(IF(_xll.BDP($D64, "IS810")="#N/A Invalid Security", "", _xll.BDP($D64, "IS810")),"")</f>
        <v/>
      </c>
      <c r="L64" s="302" t="str" cm="1">
        <f t="array" ref="L64">IFERROR(IF(_xll.BDP($D64, "RR957")="#N/A Invalid Security", "", _xll.BDP($D64, "RR957")),"")</f>
        <v/>
      </c>
      <c r="M64" s="302" t="str" cm="1">
        <f t="array" ref="M64">IFERROR(IF(_xll.BDP($D64, "RR956")="#N/A Invalid Security", "", _xll.BDP($D64, "RR956")),"")</f>
        <v/>
      </c>
      <c r="N64" s="318" t="str" cm="1">
        <f t="array" ref="N64">IFERROR(IF(_xll.BDP($D64, "RR052")="#N/A Invalid Security", "", _xll.BDP($D64, "RR052")),"")</f>
        <v/>
      </c>
      <c r="O64" s="318" t="str" cm="1">
        <f t="array" ref="O64">IFERROR(IF(_xll.BDP($D64, "BE051")="#N/A Invalid Security", "", _xll.BDP($D64, "BE051")),"")</f>
        <v/>
      </c>
    </row>
    <row r="65" spans="3:15" x14ac:dyDescent="0.25">
      <c r="C65" s="66"/>
      <c r="D65" s="317" t="str">
        <f t="shared" si="6"/>
        <v/>
      </c>
      <c r="E65" s="317" t="str" cm="1">
        <f t="array" ref="E65">IFERROR(IF(_xll.BDP(D65, "DS002")="#N/A Invalid Security", "", _xll.BDP(D65, "DS002")),"")</f>
        <v/>
      </c>
      <c r="F65" s="318" t="str" cm="1">
        <f t="array" ref="F65">IFERROR(IF(_xll.BDP($D65, "PR005")="#N/A Invalid Security", "", _xll.BDP($D65, "PR005")),"")</f>
        <v/>
      </c>
      <c r="G65" s="318" t="str" cm="1">
        <f t="array" ref="G65">IFERROR(IF(_xll.BDP($D65, "RR902")="#N/A Invalid Security", "", _xll.BDP($D65, "RR902")/1000000),"")</f>
        <v/>
      </c>
      <c r="H65" s="304" t="str" cm="1">
        <f t="array" ref="H65">IFERROR(IF(_xll.BDP($D65, "RR472")="#N/A Invalid Security", "", _xll.BDP($D65, "RR472")),"")</f>
        <v/>
      </c>
      <c r="I65" s="318" t="str" cm="1">
        <f t="array" ref="I65">IFERROR(IF(_xll.BDP($D65, "IS010")="#N/A Invalid Security", "", _xll.BDP($D65, "IS010")),"")</f>
        <v/>
      </c>
      <c r="J65" s="322" t="str" cm="1">
        <f t="array" ref="J65">IFERROR(IF(_xll.BDP($D65, "RR009")="#N/A Invalid Security", "", _xll.BDP($D65, "RR009")),"")</f>
        <v/>
      </c>
      <c r="K65" s="318" t="str" cm="1">
        <f t="array" ref="K65">IFERROR(IF(_xll.BDP($D65, "IS810")="#N/A Invalid Security", "", _xll.BDP($D65, "IS810")),"")</f>
        <v/>
      </c>
      <c r="L65" s="302" t="str" cm="1">
        <f t="array" ref="L65">IFERROR(IF(_xll.BDP($D65, "RR957")="#N/A Invalid Security", "", _xll.BDP($D65, "RR957")),"")</f>
        <v/>
      </c>
      <c r="M65" s="302" t="str" cm="1">
        <f t="array" ref="M65">IFERROR(IF(_xll.BDP($D65, "RR956")="#N/A Invalid Security", "", _xll.BDP($D65, "RR956")),"")</f>
        <v/>
      </c>
      <c r="N65" s="318" t="str" cm="1">
        <f t="array" ref="N65">IFERROR(IF(_xll.BDP($D65, "RR052")="#N/A Invalid Security", "", _xll.BDP($D65, "RR052")),"")</f>
        <v/>
      </c>
      <c r="O65" s="318" t="str" cm="1">
        <f t="array" ref="O65">IFERROR(IF(_xll.BDP($D65, "BE051")="#N/A Invalid Security", "", _xll.BDP($D65, "BE051")),"")</f>
        <v/>
      </c>
    </row>
    <row r="66" spans="3:15" x14ac:dyDescent="0.25">
      <c r="C66" s="66"/>
      <c r="D66" s="317" t="str">
        <f t="shared" si="6"/>
        <v/>
      </c>
      <c r="E66" s="317" t="str" cm="1">
        <f t="array" ref="E66">IFERROR(IF(_xll.BDP(D66, "DS002")="#N/A Invalid Security", "", _xll.BDP(D66, "DS002")),"")</f>
        <v/>
      </c>
      <c r="F66" s="318" t="str" cm="1">
        <f t="array" ref="F66">IFERROR(IF(_xll.BDP($D66, "PR005")="#N/A Invalid Security", "", _xll.BDP($D66, "PR005")),"")</f>
        <v/>
      </c>
      <c r="G66" s="318" t="str" cm="1">
        <f t="array" ref="G66">IFERROR(IF(_xll.BDP($D66, "RR902")="#N/A Invalid Security", "", _xll.BDP($D66, "RR902")/1000000),"")</f>
        <v/>
      </c>
      <c r="H66" s="304" t="str" cm="1">
        <f t="array" ref="H66">IFERROR(IF(_xll.BDP($D66, "RR472")="#N/A Invalid Security", "", _xll.BDP($D66, "RR472")),"")</f>
        <v/>
      </c>
      <c r="I66" s="318" t="str" cm="1">
        <f t="array" ref="I66">IFERROR(IF(_xll.BDP($D66, "IS010")="#N/A Invalid Security", "", _xll.BDP($D66, "IS010")),"")</f>
        <v/>
      </c>
      <c r="J66" s="322" t="str" cm="1">
        <f t="array" ref="J66">IFERROR(IF(_xll.BDP($D66, "RR009")="#N/A Invalid Security", "", _xll.BDP($D66, "RR009")),"")</f>
        <v/>
      </c>
      <c r="K66" s="318" t="str" cm="1">
        <f t="array" ref="K66">IFERROR(IF(_xll.BDP($D66, "IS810")="#N/A Invalid Security", "", _xll.BDP($D66, "IS810")),"")</f>
        <v/>
      </c>
      <c r="L66" s="302" t="str" cm="1">
        <f t="array" ref="L66">IFERROR(IF(_xll.BDP($D66, "RR957")="#N/A Invalid Security", "", _xll.BDP($D66, "RR957")),"")</f>
        <v/>
      </c>
      <c r="M66" s="302" t="str" cm="1">
        <f t="array" ref="M66">IFERROR(IF(_xll.BDP($D66, "RR956")="#N/A Invalid Security", "", _xll.BDP($D66, "RR956")),"")</f>
        <v/>
      </c>
      <c r="N66" s="318" t="str" cm="1">
        <f t="array" ref="N66">IFERROR(IF(_xll.BDP($D66, "RR052")="#N/A Invalid Security", "", _xll.BDP($D66, "RR052")),"")</f>
        <v/>
      </c>
      <c r="O66" s="318" t="str" cm="1">
        <f t="array" ref="O66">IFERROR(IF(_xll.BDP($D66, "BE051")="#N/A Invalid Security", "", _xll.BDP($D66, "BE051")),"")</f>
        <v/>
      </c>
    </row>
    <row r="67" spans="3:15" x14ac:dyDescent="0.25">
      <c r="C67" s="66"/>
      <c r="D67" s="317" t="str">
        <f t="shared" si="6"/>
        <v/>
      </c>
      <c r="E67" s="317" t="str" cm="1">
        <f t="array" ref="E67">IFERROR(IF(_xll.BDP(D67, "DS002")="#N/A Invalid Security", "", _xll.BDP(D67, "DS002")),"")</f>
        <v/>
      </c>
      <c r="F67" s="318" t="str" cm="1">
        <f t="array" ref="F67">IFERROR(IF(_xll.BDP($D67, "PR005")="#N/A Invalid Security", "", _xll.BDP($D67, "PR005")),"")</f>
        <v/>
      </c>
      <c r="G67" s="318" t="str" cm="1">
        <f t="array" ref="G67">IFERROR(IF(_xll.BDP($D67, "RR902")="#N/A Invalid Security", "", _xll.BDP($D67, "RR902")/1000000),"")</f>
        <v/>
      </c>
      <c r="H67" s="304" t="str" cm="1">
        <f t="array" ref="H67">IFERROR(IF(_xll.BDP($D67, "RR472")="#N/A Invalid Security", "", _xll.BDP($D67, "RR472")),"")</f>
        <v/>
      </c>
      <c r="I67" s="318" t="str" cm="1">
        <f t="array" ref="I67">IFERROR(IF(_xll.BDP($D67, "IS010")="#N/A Invalid Security", "", _xll.BDP($D67, "IS010")),"")</f>
        <v/>
      </c>
      <c r="J67" s="322" t="str" cm="1">
        <f t="array" ref="J67">IFERROR(IF(_xll.BDP($D67, "RR009")="#N/A Invalid Security", "", _xll.BDP($D67, "RR009")),"")</f>
        <v/>
      </c>
      <c r="K67" s="318" t="str" cm="1">
        <f t="array" ref="K67">IFERROR(IF(_xll.BDP($D67, "IS810")="#N/A Invalid Security", "", _xll.BDP($D67, "IS810")),"")</f>
        <v/>
      </c>
      <c r="L67" s="302" t="str" cm="1">
        <f t="array" ref="L67">IFERROR(IF(_xll.BDP($D67, "RR957")="#N/A Invalid Security", "", _xll.BDP($D67, "RR957")),"")</f>
        <v/>
      </c>
      <c r="M67" s="302" t="str" cm="1">
        <f t="array" ref="M67">IFERROR(IF(_xll.BDP($D67, "RR956")="#N/A Invalid Security", "", _xll.BDP($D67, "RR956")),"")</f>
        <v/>
      </c>
      <c r="N67" s="318" t="str" cm="1">
        <f t="array" ref="N67">IFERROR(IF(_xll.BDP($D67, "RR052")="#N/A Invalid Security", "", _xll.BDP($D67, "RR052")),"")</f>
        <v/>
      </c>
      <c r="O67" s="318" t="str" cm="1">
        <f t="array" ref="O67">IFERROR(IF(_xll.BDP($D67, "BE051")="#N/A Invalid Security", "", _xll.BDP($D67, "BE051")),"")</f>
        <v/>
      </c>
    </row>
    <row r="68" spans="3:15" x14ac:dyDescent="0.25">
      <c r="C68" s="66"/>
      <c r="D68" s="317" t="str">
        <f t="shared" si="6"/>
        <v/>
      </c>
      <c r="E68" s="317" t="str" cm="1">
        <f t="array" ref="E68">IFERROR(IF(_xll.BDP(D68, "DS002")="#N/A Invalid Security", "", _xll.BDP(D68, "DS002")),"")</f>
        <v/>
      </c>
      <c r="F68" s="318" t="str" cm="1">
        <f t="array" ref="F68">IFERROR(IF(_xll.BDP($D68, "PR005")="#N/A Invalid Security", "", _xll.BDP($D68, "PR005")),"")</f>
        <v/>
      </c>
      <c r="G68" s="318" t="str" cm="1">
        <f t="array" ref="G68">IFERROR(IF(_xll.BDP($D68, "RR902")="#N/A Invalid Security", "", _xll.BDP($D68, "RR902")/1000000),"")</f>
        <v/>
      </c>
      <c r="H68" s="304" t="str" cm="1">
        <f t="array" ref="H68">IFERROR(IF(_xll.BDP($D68, "RR472")="#N/A Invalid Security", "", _xll.BDP($D68, "RR472")),"")</f>
        <v/>
      </c>
      <c r="I68" s="318" t="str" cm="1">
        <f t="array" ref="I68">IFERROR(IF(_xll.BDP($D68, "IS010")="#N/A Invalid Security", "", _xll.BDP($D68, "IS010")),"")</f>
        <v/>
      </c>
      <c r="J68" s="322" t="str" cm="1">
        <f t="array" ref="J68">IFERROR(IF(_xll.BDP($D68, "RR009")="#N/A Invalid Security", "", _xll.BDP($D68, "RR009")),"")</f>
        <v/>
      </c>
      <c r="K68" s="318" t="str" cm="1">
        <f t="array" ref="K68">IFERROR(IF(_xll.BDP($D68, "IS810")="#N/A Invalid Security", "", _xll.BDP($D68, "IS810")),"")</f>
        <v/>
      </c>
      <c r="L68" s="302" t="str" cm="1">
        <f t="array" ref="L68">IFERROR(IF(_xll.BDP($D68, "RR957")="#N/A Invalid Security", "", _xll.BDP($D68, "RR957")),"")</f>
        <v/>
      </c>
      <c r="M68" s="302" t="str" cm="1">
        <f t="array" ref="M68">IFERROR(IF(_xll.BDP($D68, "RR956")="#N/A Invalid Security", "", _xll.BDP($D68, "RR956")),"")</f>
        <v/>
      </c>
      <c r="N68" s="318" t="str" cm="1">
        <f t="array" ref="N68">IFERROR(IF(_xll.BDP($D68, "RR052")="#N/A Invalid Security", "", _xll.BDP($D68, "RR052")),"")</f>
        <v/>
      </c>
      <c r="O68" s="318" t="str" cm="1">
        <f t="array" ref="O68">IFERROR(IF(_xll.BDP($D68, "BE051")="#N/A Invalid Security", "", _xll.BDP($D68, "BE051")),"")</f>
        <v/>
      </c>
    </row>
    <row r="69" spans="3:15" x14ac:dyDescent="0.25">
      <c r="C69" s="66"/>
      <c r="D69" s="317" t="str">
        <f t="shared" si="6"/>
        <v/>
      </c>
      <c r="E69" s="317" t="str" cm="1">
        <f t="array" ref="E69">IFERROR(IF(_xll.BDP(D69, "DS002")="#N/A Invalid Security", "", _xll.BDP(D69, "DS002")),"")</f>
        <v/>
      </c>
      <c r="F69" s="318" t="str" cm="1">
        <f t="array" ref="F69">IFERROR(IF(_xll.BDP($D69, "PR005")="#N/A Invalid Security", "", _xll.BDP($D69, "PR005")),"")</f>
        <v/>
      </c>
      <c r="G69" s="318" t="str" cm="1">
        <f t="array" ref="G69">IFERROR(IF(_xll.BDP($D69, "RR902")="#N/A Invalid Security", "", _xll.BDP($D69, "RR902")/1000000),"")</f>
        <v/>
      </c>
      <c r="H69" s="304" t="str" cm="1">
        <f t="array" ref="H69">IFERROR(IF(_xll.BDP($D69, "RR472")="#N/A Invalid Security", "", _xll.BDP($D69, "RR472")),"")</f>
        <v/>
      </c>
      <c r="I69" s="318" t="str" cm="1">
        <f t="array" ref="I69">IFERROR(IF(_xll.BDP($D69, "IS010")="#N/A Invalid Security", "", _xll.BDP($D69, "IS010")),"")</f>
        <v/>
      </c>
      <c r="J69" s="322" t="str" cm="1">
        <f t="array" ref="J69">IFERROR(IF(_xll.BDP($D69, "RR009")="#N/A Invalid Security", "", _xll.BDP($D69, "RR009")),"")</f>
        <v/>
      </c>
      <c r="K69" s="318" t="str" cm="1">
        <f t="array" ref="K69">IFERROR(IF(_xll.BDP($D69, "IS810")="#N/A Invalid Security", "", _xll.BDP($D69, "IS810")),"")</f>
        <v/>
      </c>
      <c r="L69" s="302" t="str" cm="1">
        <f t="array" ref="L69">IFERROR(IF(_xll.BDP($D69, "RR957")="#N/A Invalid Security", "", _xll.BDP($D69, "RR957")),"")</f>
        <v/>
      </c>
      <c r="M69" s="302" t="str" cm="1">
        <f t="array" ref="M69">IFERROR(IF(_xll.BDP($D69, "RR956")="#N/A Invalid Security", "", _xll.BDP($D69, "RR956")),"")</f>
        <v/>
      </c>
      <c r="N69" s="318" t="str" cm="1">
        <f t="array" ref="N69">IFERROR(IF(_xll.BDP($D69, "RR052")="#N/A Invalid Security", "", _xll.BDP($D69, "RR052")),"")</f>
        <v/>
      </c>
      <c r="O69" s="318" t="str" cm="1">
        <f t="array" ref="O69">IFERROR(IF(_xll.BDP($D69, "BE051")="#N/A Invalid Security", "", _xll.BDP($D69, "BE051")),"")</f>
        <v/>
      </c>
    </row>
    <row r="70" spans="3:15" x14ac:dyDescent="0.25">
      <c r="C70" s="66"/>
      <c r="D70" s="317" t="str">
        <f t="shared" si="6"/>
        <v/>
      </c>
      <c r="E70" s="317" t="str" cm="1">
        <f t="array" ref="E70">IFERROR(IF(_xll.BDP(D70, "DS002")="#N/A Invalid Security", "", _xll.BDP(D70, "DS002")),"")</f>
        <v/>
      </c>
      <c r="F70" s="318" t="str" cm="1">
        <f t="array" ref="F70">IFERROR(IF(_xll.BDP($D70, "PR005")="#N/A Invalid Security", "", _xll.BDP($D70, "PR005")),"")</f>
        <v/>
      </c>
      <c r="G70" s="318" t="str" cm="1">
        <f t="array" ref="G70">IFERROR(IF(_xll.BDP($D70, "RR902")="#N/A Invalid Security", "", _xll.BDP($D70, "RR902")/1000000),"")</f>
        <v/>
      </c>
      <c r="H70" s="304" t="str" cm="1">
        <f t="array" ref="H70">IFERROR(IF(_xll.BDP($D70, "RR472")="#N/A Invalid Security", "", _xll.BDP($D70, "RR472")),"")</f>
        <v/>
      </c>
      <c r="I70" s="318" t="str" cm="1">
        <f t="array" ref="I70">IFERROR(IF(_xll.BDP($D70, "IS010")="#N/A Invalid Security", "", _xll.BDP($D70, "IS010")),"")</f>
        <v/>
      </c>
      <c r="J70" s="322" t="str" cm="1">
        <f t="array" ref="J70">IFERROR(IF(_xll.BDP($D70, "RR009")="#N/A Invalid Security", "", _xll.BDP($D70, "RR009")),"")</f>
        <v/>
      </c>
      <c r="K70" s="318" t="str" cm="1">
        <f t="array" ref="K70">IFERROR(IF(_xll.BDP($D70, "IS810")="#N/A Invalid Security", "", _xll.BDP($D70, "IS810")),"")</f>
        <v/>
      </c>
      <c r="L70" s="302" t="str" cm="1">
        <f t="array" ref="L70">IFERROR(IF(_xll.BDP($D70, "RR957")="#N/A Invalid Security", "", _xll.BDP($D70, "RR957")),"")</f>
        <v/>
      </c>
      <c r="M70" s="302" t="str" cm="1">
        <f t="array" ref="M70">IFERROR(IF(_xll.BDP($D70, "RR956")="#N/A Invalid Security", "", _xll.BDP($D70, "RR956")),"")</f>
        <v/>
      </c>
      <c r="N70" s="318" t="str" cm="1">
        <f t="array" ref="N70">IFERROR(IF(_xll.BDP($D70, "RR052")="#N/A Invalid Security", "", _xll.BDP($D70, "RR052")),"")</f>
        <v/>
      </c>
      <c r="O70" s="318" t="str" cm="1">
        <f t="array" ref="O70">IFERROR(IF(_xll.BDP($D70, "BE051")="#N/A Invalid Security", "", _xll.BDP($D70, "BE051")),"")</f>
        <v/>
      </c>
    </row>
    <row r="71" spans="3:15" x14ac:dyDescent="0.25">
      <c r="C71" s="66"/>
      <c r="D71" s="317" t="str">
        <f t="shared" si="6"/>
        <v/>
      </c>
      <c r="E71" s="317" t="str" cm="1">
        <f t="array" ref="E71">IFERROR(IF(_xll.BDP(D71, "DS002")="#N/A Invalid Security", "", _xll.BDP(D71, "DS002")),"")</f>
        <v/>
      </c>
      <c r="F71" s="318" t="str" cm="1">
        <f t="array" ref="F71">IFERROR(IF(_xll.BDP($D71, "PR005")="#N/A Invalid Security", "", _xll.BDP($D71, "PR005")),"")</f>
        <v/>
      </c>
      <c r="G71" s="318" t="str" cm="1">
        <f t="array" ref="G71">IFERROR(IF(_xll.BDP($D71, "RR902")="#N/A Invalid Security", "", _xll.BDP($D71, "RR902")/1000000),"")</f>
        <v/>
      </c>
      <c r="H71" s="304" t="str" cm="1">
        <f t="array" ref="H71">IFERROR(IF(_xll.BDP($D71, "RR472")="#N/A Invalid Security", "", _xll.BDP($D71, "RR472")),"")</f>
        <v/>
      </c>
      <c r="I71" s="318" t="str" cm="1">
        <f t="array" ref="I71">IFERROR(IF(_xll.BDP($D71, "IS010")="#N/A Invalid Security", "", _xll.BDP($D71, "IS010")),"")</f>
        <v/>
      </c>
      <c r="J71" s="322" t="str" cm="1">
        <f t="array" ref="J71">IFERROR(IF(_xll.BDP($D71, "RR009")="#N/A Invalid Security", "", _xll.BDP($D71, "RR009")),"")</f>
        <v/>
      </c>
      <c r="K71" s="318" t="str" cm="1">
        <f t="array" ref="K71">IFERROR(IF(_xll.BDP($D71, "IS810")="#N/A Invalid Security", "", _xll.BDP($D71, "IS810")),"")</f>
        <v/>
      </c>
      <c r="L71" s="302" t="str" cm="1">
        <f t="array" ref="L71">IFERROR(IF(_xll.BDP($D71, "RR957")="#N/A Invalid Security", "", _xll.BDP($D71, "RR957")),"")</f>
        <v/>
      </c>
      <c r="M71" s="302" t="str" cm="1">
        <f t="array" ref="M71">IFERROR(IF(_xll.BDP($D71, "RR956")="#N/A Invalid Security", "", _xll.BDP($D71, "RR956")),"")</f>
        <v/>
      </c>
      <c r="N71" s="318" t="str" cm="1">
        <f t="array" ref="N71">IFERROR(IF(_xll.BDP($D71, "RR052")="#N/A Invalid Security", "", _xll.BDP($D71, "RR052")),"")</f>
        <v/>
      </c>
      <c r="O71" s="318" t="str" cm="1">
        <f t="array" ref="O71">IFERROR(IF(_xll.BDP($D71, "BE051")="#N/A Invalid Security", "", _xll.BDP($D71, "BE051")),"")</f>
        <v/>
      </c>
    </row>
    <row r="72" spans="3:15" x14ac:dyDescent="0.25">
      <c r="C72" s="66"/>
      <c r="D72" s="317" t="str">
        <f t="shared" si="6"/>
        <v/>
      </c>
      <c r="E72" s="317" t="str" cm="1">
        <f t="array" ref="E72">IFERROR(IF(_xll.BDP(D72, "DS002")="#N/A Invalid Security", "", _xll.BDP(D72, "DS002")),"")</f>
        <v/>
      </c>
      <c r="F72" s="318" t="str" cm="1">
        <f t="array" ref="F72">IFERROR(IF(_xll.BDP($D72, "PR005")="#N/A Invalid Security", "", _xll.BDP($D72, "PR005")),"")</f>
        <v/>
      </c>
      <c r="G72" s="318" t="str" cm="1">
        <f t="array" ref="G72">IFERROR(IF(_xll.BDP($D72, "RR902")="#N/A Invalid Security", "", _xll.BDP($D72, "RR902")/1000000),"")</f>
        <v/>
      </c>
      <c r="H72" s="304" t="str" cm="1">
        <f t="array" ref="H72">IFERROR(IF(_xll.BDP($D72, "RR472")="#N/A Invalid Security", "", _xll.BDP($D72, "RR472")),"")</f>
        <v/>
      </c>
      <c r="I72" s="318" t="str" cm="1">
        <f t="array" ref="I72">IFERROR(IF(_xll.BDP($D72, "IS010")="#N/A Invalid Security", "", _xll.BDP($D72, "IS010")),"")</f>
        <v/>
      </c>
      <c r="J72" s="322" t="str" cm="1">
        <f t="array" ref="J72">IFERROR(IF(_xll.BDP($D72, "RR009")="#N/A Invalid Security", "", _xll.BDP($D72, "RR009")),"")</f>
        <v/>
      </c>
      <c r="K72" s="318" t="str" cm="1">
        <f t="array" ref="K72">IFERROR(IF(_xll.BDP($D72, "IS810")="#N/A Invalid Security", "", _xll.BDP($D72, "IS810")),"")</f>
        <v/>
      </c>
      <c r="L72" s="302" t="str" cm="1">
        <f t="array" ref="L72">IFERROR(IF(_xll.BDP($D72, "RR957")="#N/A Invalid Security", "", _xll.BDP($D72, "RR957")),"")</f>
        <v/>
      </c>
      <c r="M72" s="302" t="str" cm="1">
        <f t="array" ref="M72">IFERROR(IF(_xll.BDP($D72, "RR956")="#N/A Invalid Security", "", _xll.BDP($D72, "RR956")),"")</f>
        <v/>
      </c>
      <c r="N72" s="318" t="str" cm="1">
        <f t="array" ref="N72">IFERROR(IF(_xll.BDP($D72, "RR052")="#N/A Invalid Security", "", _xll.BDP($D72, "RR052")),"")</f>
        <v/>
      </c>
      <c r="O72" s="318" t="str" cm="1">
        <f t="array" ref="O72">IFERROR(IF(_xll.BDP($D72, "BE051")="#N/A Invalid Security", "", _xll.BDP($D72, "BE051")),"")</f>
        <v/>
      </c>
    </row>
    <row r="73" spans="3:15" x14ac:dyDescent="0.25">
      <c r="C73" s="66"/>
      <c r="D73" s="317" t="str">
        <f t="shared" si="6"/>
        <v/>
      </c>
      <c r="E73" s="317" t="str" cm="1">
        <f t="array" ref="E73">IFERROR(IF(_xll.BDP(D73, "DS002")="#N/A Invalid Security", "", _xll.BDP(D73, "DS002")),"")</f>
        <v/>
      </c>
      <c r="F73" s="318" t="str" cm="1">
        <f t="array" ref="F73">IFERROR(IF(_xll.BDP($D73, "PR005")="#N/A Invalid Security", "", _xll.BDP($D73, "PR005")),"")</f>
        <v/>
      </c>
      <c r="G73" s="318" t="str" cm="1">
        <f t="array" ref="G73">IFERROR(IF(_xll.BDP($D73, "RR902")="#N/A Invalid Security", "", _xll.BDP($D73, "RR902")/1000000),"")</f>
        <v/>
      </c>
      <c r="H73" s="304" t="str" cm="1">
        <f t="array" ref="H73">IFERROR(IF(_xll.BDP($D73, "RR472")="#N/A Invalid Security", "", _xll.BDP($D73, "RR472")),"")</f>
        <v/>
      </c>
      <c r="I73" s="318" t="str" cm="1">
        <f t="array" ref="I73">IFERROR(IF(_xll.BDP($D73, "IS010")="#N/A Invalid Security", "", _xll.BDP($D73, "IS010")),"")</f>
        <v/>
      </c>
      <c r="J73" s="322" t="str" cm="1">
        <f t="array" ref="J73">IFERROR(IF(_xll.BDP($D73, "RR009")="#N/A Invalid Security", "", _xll.BDP($D73, "RR009")),"")</f>
        <v/>
      </c>
      <c r="K73" s="318" t="str" cm="1">
        <f t="array" ref="K73">IFERROR(IF(_xll.BDP($D73, "IS810")="#N/A Invalid Security", "", _xll.BDP($D73, "IS810")),"")</f>
        <v/>
      </c>
      <c r="L73" s="302" t="str" cm="1">
        <f t="array" ref="L73">IFERROR(IF(_xll.BDP($D73, "RR957")="#N/A Invalid Security", "", _xll.BDP($D73, "RR957")),"")</f>
        <v/>
      </c>
      <c r="M73" s="302" t="str" cm="1">
        <f t="array" ref="M73">IFERROR(IF(_xll.BDP($D73, "RR956")="#N/A Invalid Security", "", _xll.BDP($D73, "RR956")),"")</f>
        <v/>
      </c>
      <c r="N73" s="318" t="str" cm="1">
        <f t="array" ref="N73">IFERROR(IF(_xll.BDP($D73, "RR052")="#N/A Invalid Security", "", _xll.BDP($D73, "RR052")),"")</f>
        <v/>
      </c>
      <c r="O73" s="318" t="str" cm="1">
        <f t="array" ref="O73">IFERROR(IF(_xll.BDP($D73, "BE051")="#N/A Invalid Security", "", _xll.BDP($D73, "BE051")),"")</f>
        <v/>
      </c>
    </row>
    <row r="74" spans="3:15" x14ac:dyDescent="0.25">
      <c r="C74" s="66"/>
      <c r="D74" s="317" t="str">
        <f t="shared" ref="D74:D106" si="7">IF(C74="", "", C74 &amp; " EQUITY")</f>
        <v/>
      </c>
      <c r="E74" s="317" t="str" cm="1">
        <f t="array" ref="E74">IFERROR(IF(_xll.BDP(D74, "DS002")="#N/A Invalid Security", "", _xll.BDP(D74, "DS002")),"")</f>
        <v/>
      </c>
      <c r="F74" s="318" t="str" cm="1">
        <f t="array" ref="F74">IFERROR(IF(_xll.BDP($D74, "PR005")="#N/A Invalid Security", "", _xll.BDP($D74, "PR005")),"")</f>
        <v/>
      </c>
      <c r="G74" s="318" t="str" cm="1">
        <f t="array" ref="G74">IFERROR(IF(_xll.BDP($D74, "RR902")="#N/A Invalid Security", "", _xll.BDP($D74, "RR902")/1000000),"")</f>
        <v/>
      </c>
      <c r="H74" s="304" t="str" cm="1">
        <f t="array" ref="H74">IFERROR(IF(_xll.BDP($D74, "RR472")="#N/A Invalid Security", "", _xll.BDP($D74, "RR472")),"")</f>
        <v/>
      </c>
      <c r="I74" s="318" t="str" cm="1">
        <f t="array" ref="I74">IFERROR(IF(_xll.BDP($D74, "IS010")="#N/A Invalid Security", "", _xll.BDP($D74, "IS010")),"")</f>
        <v/>
      </c>
      <c r="J74" s="322" t="str" cm="1">
        <f t="array" ref="J74">IFERROR(IF(_xll.BDP($D74, "RR009")="#N/A Invalid Security", "", _xll.BDP($D74, "RR009")),"")</f>
        <v/>
      </c>
      <c r="K74" s="318" t="str" cm="1">
        <f t="array" ref="K74">IFERROR(IF(_xll.BDP($D74, "IS810")="#N/A Invalid Security", "", _xll.BDP($D74, "IS810")),"")</f>
        <v/>
      </c>
      <c r="L74" s="302" t="str" cm="1">
        <f t="array" ref="L74">IFERROR(IF(_xll.BDP($D74, "RR957")="#N/A Invalid Security", "", _xll.BDP($D74, "RR957")),"")</f>
        <v/>
      </c>
      <c r="M74" s="302" t="str" cm="1">
        <f t="array" ref="M74">IFERROR(IF(_xll.BDP($D74, "RR956")="#N/A Invalid Security", "", _xll.BDP($D74, "RR956")),"")</f>
        <v/>
      </c>
      <c r="N74" s="318" t="str" cm="1">
        <f t="array" ref="N74">IFERROR(IF(_xll.BDP($D74, "RR052")="#N/A Invalid Security", "", _xll.BDP($D74, "RR052")),"")</f>
        <v/>
      </c>
      <c r="O74" s="318" t="str" cm="1">
        <f t="array" ref="O74">IFERROR(IF(_xll.BDP($D74, "BE051")="#N/A Invalid Security", "", _xll.BDP($D74, "BE051")),"")</f>
        <v/>
      </c>
    </row>
    <row r="75" spans="3:15" x14ac:dyDescent="0.25">
      <c r="C75" s="66"/>
      <c r="D75" s="317" t="str">
        <f t="shared" si="7"/>
        <v/>
      </c>
      <c r="E75" s="317" t="str" cm="1">
        <f t="array" ref="E75">IFERROR(IF(_xll.BDP(D75, "DS002")="#N/A Invalid Security", "", _xll.BDP(D75, "DS002")),"")</f>
        <v/>
      </c>
      <c r="F75" s="318" t="str" cm="1">
        <f t="array" ref="F75">IFERROR(IF(_xll.BDP($D75, "PR005")="#N/A Invalid Security", "", _xll.BDP($D75, "PR005")),"")</f>
        <v/>
      </c>
      <c r="G75" s="318" t="str" cm="1">
        <f t="array" ref="G75">IFERROR(IF(_xll.BDP($D75, "RR902")="#N/A Invalid Security", "", _xll.BDP($D75, "RR902")/1000000),"")</f>
        <v/>
      </c>
      <c r="H75" s="304" t="str" cm="1">
        <f t="array" ref="H75">IFERROR(IF(_xll.BDP($D75, "RR472")="#N/A Invalid Security", "", _xll.BDP($D75, "RR472")),"")</f>
        <v/>
      </c>
      <c r="I75" s="318" t="str" cm="1">
        <f t="array" ref="I75">IFERROR(IF(_xll.BDP($D75, "IS010")="#N/A Invalid Security", "", _xll.BDP($D75, "IS010")),"")</f>
        <v/>
      </c>
      <c r="J75" s="322" t="str" cm="1">
        <f t="array" ref="J75">IFERROR(IF(_xll.BDP($D75, "RR009")="#N/A Invalid Security", "", _xll.BDP($D75, "RR009")),"")</f>
        <v/>
      </c>
      <c r="K75" s="318" t="str" cm="1">
        <f t="array" ref="K75">IFERROR(IF(_xll.BDP($D75, "IS810")="#N/A Invalid Security", "", _xll.BDP($D75, "IS810")),"")</f>
        <v/>
      </c>
      <c r="L75" s="302" t="str" cm="1">
        <f t="array" ref="L75">IFERROR(IF(_xll.BDP($D75, "RR957")="#N/A Invalid Security", "", _xll.BDP($D75, "RR957")),"")</f>
        <v/>
      </c>
      <c r="M75" s="302" t="str" cm="1">
        <f t="array" ref="M75">IFERROR(IF(_xll.BDP($D75, "RR956")="#N/A Invalid Security", "", _xll.BDP($D75, "RR956")),"")</f>
        <v/>
      </c>
      <c r="N75" s="318" t="str" cm="1">
        <f t="array" ref="N75">IFERROR(IF(_xll.BDP($D75, "RR052")="#N/A Invalid Security", "", _xll.BDP($D75, "RR052")),"")</f>
        <v/>
      </c>
      <c r="O75" s="318" t="str" cm="1">
        <f t="array" ref="O75">IFERROR(IF(_xll.BDP($D75, "BE051")="#N/A Invalid Security", "", _xll.BDP($D75, "BE051")),"")</f>
        <v/>
      </c>
    </row>
    <row r="76" spans="3:15" x14ac:dyDescent="0.25">
      <c r="C76" s="66"/>
      <c r="D76" s="317" t="str">
        <f t="shared" si="7"/>
        <v/>
      </c>
      <c r="E76" s="317" t="str" cm="1">
        <f t="array" ref="E76">IFERROR(IF(_xll.BDP(D76, "DS002")="#N/A Invalid Security", "", _xll.BDP(D76, "DS002")),"")</f>
        <v/>
      </c>
      <c r="F76" s="318" t="str" cm="1">
        <f t="array" ref="F76">IFERROR(IF(_xll.BDP($D76, "PR005")="#N/A Invalid Security", "", _xll.BDP($D76, "PR005")),"")</f>
        <v/>
      </c>
      <c r="G76" s="318" t="str" cm="1">
        <f t="array" ref="G76">IFERROR(IF(_xll.BDP($D76, "RR902")="#N/A Invalid Security", "", _xll.BDP($D76, "RR902")/1000000),"")</f>
        <v/>
      </c>
      <c r="H76" s="304" t="str" cm="1">
        <f t="array" ref="H76">IFERROR(IF(_xll.BDP($D76, "RR472")="#N/A Invalid Security", "", _xll.BDP($D76, "RR472")),"")</f>
        <v/>
      </c>
      <c r="I76" s="318" t="str" cm="1">
        <f t="array" ref="I76">IFERROR(IF(_xll.BDP($D76, "IS010")="#N/A Invalid Security", "", _xll.BDP($D76, "IS010")),"")</f>
        <v/>
      </c>
      <c r="J76" s="322" t="str" cm="1">
        <f t="array" ref="J76">IFERROR(IF(_xll.BDP($D76, "RR009")="#N/A Invalid Security", "", _xll.BDP($D76, "RR009")),"")</f>
        <v/>
      </c>
      <c r="K76" s="318" t="str" cm="1">
        <f t="array" ref="K76">IFERROR(IF(_xll.BDP($D76, "IS810")="#N/A Invalid Security", "", _xll.BDP($D76, "IS810")),"")</f>
        <v/>
      </c>
      <c r="L76" s="302" t="str" cm="1">
        <f t="array" ref="L76">IFERROR(IF(_xll.BDP($D76, "RR957")="#N/A Invalid Security", "", _xll.BDP($D76, "RR957")),"")</f>
        <v/>
      </c>
      <c r="M76" s="302" t="str" cm="1">
        <f t="array" ref="M76">IFERROR(IF(_xll.BDP($D76, "RR956")="#N/A Invalid Security", "", _xll.BDP($D76, "RR956")),"")</f>
        <v/>
      </c>
      <c r="N76" s="318" t="str" cm="1">
        <f t="array" ref="N76">IFERROR(IF(_xll.BDP($D76, "RR052")="#N/A Invalid Security", "", _xll.BDP($D76, "RR052")),"")</f>
        <v/>
      </c>
      <c r="O76" s="318" t="str" cm="1">
        <f t="array" ref="O76">IFERROR(IF(_xll.BDP($D76, "BE051")="#N/A Invalid Security", "", _xll.BDP($D76, "BE051")),"")</f>
        <v/>
      </c>
    </row>
    <row r="77" spans="3:15" x14ac:dyDescent="0.25">
      <c r="C77" s="66"/>
      <c r="D77" s="317" t="str">
        <f t="shared" si="7"/>
        <v/>
      </c>
      <c r="E77" s="317" t="str" cm="1">
        <f t="array" ref="E77">IFERROR(IF(_xll.BDP(D77, "DS002")="#N/A Invalid Security", "", _xll.BDP(D77, "DS002")),"")</f>
        <v/>
      </c>
      <c r="F77" s="318" t="str" cm="1">
        <f t="array" ref="F77">IFERROR(IF(_xll.BDP($D77, "PR005")="#N/A Invalid Security", "", _xll.BDP($D77, "PR005")),"")</f>
        <v/>
      </c>
      <c r="G77" s="318" t="str" cm="1">
        <f t="array" ref="G77">IFERROR(IF(_xll.BDP($D77, "RR902")="#N/A Invalid Security", "", _xll.BDP($D77, "RR902")/1000000),"")</f>
        <v/>
      </c>
      <c r="H77" s="304" t="str" cm="1">
        <f t="array" ref="H77">IFERROR(IF(_xll.BDP($D77, "RR472")="#N/A Invalid Security", "", _xll.BDP($D77, "RR472")),"")</f>
        <v/>
      </c>
      <c r="I77" s="318" t="str" cm="1">
        <f t="array" ref="I77">IFERROR(IF(_xll.BDP($D77, "IS010")="#N/A Invalid Security", "", _xll.BDP($D77, "IS010")),"")</f>
        <v/>
      </c>
      <c r="J77" s="322" t="str" cm="1">
        <f t="array" ref="J77">IFERROR(IF(_xll.BDP($D77, "RR009")="#N/A Invalid Security", "", _xll.BDP($D77, "RR009")),"")</f>
        <v/>
      </c>
      <c r="K77" s="318" t="str" cm="1">
        <f t="array" ref="K77">IFERROR(IF(_xll.BDP($D77, "IS810")="#N/A Invalid Security", "", _xll.BDP($D77, "IS810")),"")</f>
        <v/>
      </c>
      <c r="L77" s="302" t="str" cm="1">
        <f t="array" ref="L77">IFERROR(IF(_xll.BDP($D77, "RR957")="#N/A Invalid Security", "", _xll.BDP($D77, "RR957")),"")</f>
        <v/>
      </c>
      <c r="M77" s="302" t="str" cm="1">
        <f t="array" ref="M77">IFERROR(IF(_xll.BDP($D77, "RR956")="#N/A Invalid Security", "", _xll.BDP($D77, "RR956")),"")</f>
        <v/>
      </c>
      <c r="N77" s="318" t="str" cm="1">
        <f t="array" ref="N77">IFERROR(IF(_xll.BDP($D77, "RR052")="#N/A Invalid Security", "", _xll.BDP($D77, "RR052")),"")</f>
        <v/>
      </c>
      <c r="O77" s="318" t="str" cm="1">
        <f t="array" ref="O77">IFERROR(IF(_xll.BDP($D77, "BE051")="#N/A Invalid Security", "", _xll.BDP($D77, "BE051")),"")</f>
        <v/>
      </c>
    </row>
    <row r="78" spans="3:15" x14ac:dyDescent="0.25">
      <c r="C78" s="66"/>
      <c r="D78" s="317" t="str">
        <f t="shared" si="7"/>
        <v/>
      </c>
      <c r="E78" s="317" t="str" cm="1">
        <f t="array" ref="E78">IFERROR(IF(_xll.BDP(D78, "DS002")="#N/A Invalid Security", "", _xll.BDP(D78, "DS002")),"")</f>
        <v/>
      </c>
      <c r="F78" s="318" t="str" cm="1">
        <f t="array" ref="F78">IFERROR(IF(_xll.BDP($D78, "PR005")="#N/A Invalid Security", "", _xll.BDP($D78, "PR005")),"")</f>
        <v/>
      </c>
      <c r="G78" s="318" t="str" cm="1">
        <f t="array" ref="G78">IFERROR(IF(_xll.BDP($D78, "RR902")="#N/A Invalid Security", "", _xll.BDP($D78, "RR902")/1000000),"")</f>
        <v/>
      </c>
      <c r="H78" s="304" t="str" cm="1">
        <f t="array" ref="H78">IFERROR(IF(_xll.BDP($D78, "RR472")="#N/A Invalid Security", "", _xll.BDP($D78, "RR472")),"")</f>
        <v/>
      </c>
      <c r="I78" s="318" t="str" cm="1">
        <f t="array" ref="I78">IFERROR(IF(_xll.BDP($D78, "IS010")="#N/A Invalid Security", "", _xll.BDP($D78, "IS010")),"")</f>
        <v/>
      </c>
      <c r="J78" s="322" t="str" cm="1">
        <f t="array" ref="J78">IFERROR(IF(_xll.BDP($D78, "RR009")="#N/A Invalid Security", "", _xll.BDP($D78, "RR009")),"")</f>
        <v/>
      </c>
      <c r="K78" s="318" t="str" cm="1">
        <f t="array" ref="K78">IFERROR(IF(_xll.BDP($D78, "IS810")="#N/A Invalid Security", "", _xll.BDP($D78, "IS810")),"")</f>
        <v/>
      </c>
      <c r="L78" s="302" t="str" cm="1">
        <f t="array" ref="L78">IFERROR(IF(_xll.BDP($D78, "RR957")="#N/A Invalid Security", "", _xll.BDP($D78, "RR957")),"")</f>
        <v/>
      </c>
      <c r="M78" s="302" t="str" cm="1">
        <f t="array" ref="M78">IFERROR(IF(_xll.BDP($D78, "RR956")="#N/A Invalid Security", "", _xll.BDP($D78, "RR956")),"")</f>
        <v/>
      </c>
      <c r="N78" s="318" t="str" cm="1">
        <f t="array" ref="N78">IFERROR(IF(_xll.BDP($D78, "RR052")="#N/A Invalid Security", "", _xll.BDP($D78, "RR052")),"")</f>
        <v/>
      </c>
      <c r="O78" s="318" t="str" cm="1">
        <f t="array" ref="O78">IFERROR(IF(_xll.BDP($D78, "BE051")="#N/A Invalid Security", "", _xll.BDP($D78, "BE051")),"")</f>
        <v/>
      </c>
    </row>
    <row r="79" spans="3:15" x14ac:dyDescent="0.25">
      <c r="C79" s="66"/>
      <c r="D79" s="317" t="str">
        <f t="shared" si="7"/>
        <v/>
      </c>
      <c r="E79" s="317" t="str" cm="1">
        <f t="array" ref="E79">IFERROR(IF(_xll.BDP(D79, "DS002")="#N/A Invalid Security", "", _xll.BDP(D79, "DS002")),"")</f>
        <v/>
      </c>
      <c r="F79" s="318" t="str" cm="1">
        <f t="array" ref="F79">IFERROR(IF(_xll.BDP($D79, "PR005")="#N/A Invalid Security", "", _xll.BDP($D79, "PR005")),"")</f>
        <v/>
      </c>
      <c r="G79" s="318" t="str" cm="1">
        <f t="array" ref="G79">IFERROR(IF(_xll.BDP($D79, "RR902")="#N/A Invalid Security", "", _xll.BDP($D79, "RR902")/1000000),"")</f>
        <v/>
      </c>
      <c r="H79" s="304" t="str" cm="1">
        <f t="array" ref="H79">IFERROR(IF(_xll.BDP($D79, "RR472")="#N/A Invalid Security", "", _xll.BDP($D79, "RR472")),"")</f>
        <v/>
      </c>
      <c r="I79" s="318" t="str" cm="1">
        <f t="array" ref="I79">IFERROR(IF(_xll.BDP($D79, "IS010")="#N/A Invalid Security", "", _xll.BDP($D79, "IS010")),"")</f>
        <v/>
      </c>
      <c r="J79" s="322" t="str" cm="1">
        <f t="array" ref="J79">IFERROR(IF(_xll.BDP($D79, "RR009")="#N/A Invalid Security", "", _xll.BDP($D79, "RR009")),"")</f>
        <v/>
      </c>
      <c r="K79" s="318" t="str" cm="1">
        <f t="array" ref="K79">IFERROR(IF(_xll.BDP($D79, "IS810")="#N/A Invalid Security", "", _xll.BDP($D79, "IS810")),"")</f>
        <v/>
      </c>
      <c r="L79" s="302" t="str" cm="1">
        <f t="array" ref="L79">IFERROR(IF(_xll.BDP($D79, "RR957")="#N/A Invalid Security", "", _xll.BDP($D79, "RR957")),"")</f>
        <v/>
      </c>
      <c r="M79" s="302" t="str" cm="1">
        <f t="array" ref="M79">IFERROR(IF(_xll.BDP($D79, "RR956")="#N/A Invalid Security", "", _xll.BDP($D79, "RR956")),"")</f>
        <v/>
      </c>
      <c r="N79" s="318" t="str" cm="1">
        <f t="array" ref="N79">IFERROR(IF(_xll.BDP($D79, "RR052")="#N/A Invalid Security", "", _xll.BDP($D79, "RR052")),"")</f>
        <v/>
      </c>
      <c r="O79" s="318" t="str" cm="1">
        <f t="array" ref="O79">IFERROR(IF(_xll.BDP($D79, "BE051")="#N/A Invalid Security", "", _xll.BDP($D79, "BE051")),"")</f>
        <v/>
      </c>
    </row>
    <row r="80" spans="3:15" x14ac:dyDescent="0.25">
      <c r="C80" s="66"/>
      <c r="D80" s="317" t="str">
        <f t="shared" si="7"/>
        <v/>
      </c>
      <c r="E80" s="317" t="str" cm="1">
        <f t="array" ref="E80">IFERROR(IF(_xll.BDP(D80, "DS002")="#N/A Invalid Security", "", _xll.BDP(D80, "DS002")),"")</f>
        <v/>
      </c>
      <c r="F80" s="318" t="str" cm="1">
        <f t="array" ref="F80">IFERROR(IF(_xll.BDP($D80, "PR005")="#N/A Invalid Security", "", _xll.BDP($D80, "PR005")),"")</f>
        <v/>
      </c>
      <c r="G80" s="318" t="str" cm="1">
        <f t="array" ref="G80">IFERROR(IF(_xll.BDP($D80, "RR902")="#N/A Invalid Security", "", _xll.BDP($D80, "RR902")/1000000),"")</f>
        <v/>
      </c>
      <c r="H80" s="304" t="str" cm="1">
        <f t="array" ref="H80">IFERROR(IF(_xll.BDP($D80, "RR472")="#N/A Invalid Security", "", _xll.BDP($D80, "RR472")),"")</f>
        <v/>
      </c>
      <c r="I80" s="318" t="str" cm="1">
        <f t="array" ref="I80">IFERROR(IF(_xll.BDP($D80, "IS010")="#N/A Invalid Security", "", _xll.BDP($D80, "IS010")),"")</f>
        <v/>
      </c>
      <c r="J80" s="322" t="str" cm="1">
        <f t="array" ref="J80">IFERROR(IF(_xll.BDP($D80, "RR009")="#N/A Invalid Security", "", _xll.BDP($D80, "RR009")),"")</f>
        <v/>
      </c>
      <c r="K80" s="318" t="str" cm="1">
        <f t="array" ref="K80">IFERROR(IF(_xll.BDP($D80, "IS810")="#N/A Invalid Security", "", _xll.BDP($D80, "IS810")),"")</f>
        <v/>
      </c>
      <c r="L80" s="302" t="str" cm="1">
        <f t="array" ref="L80">IFERROR(IF(_xll.BDP($D80, "RR957")="#N/A Invalid Security", "", _xll.BDP($D80, "RR957")),"")</f>
        <v/>
      </c>
      <c r="M80" s="302" t="str" cm="1">
        <f t="array" ref="M80">IFERROR(IF(_xll.BDP($D80, "RR956")="#N/A Invalid Security", "", _xll.BDP($D80, "RR956")),"")</f>
        <v/>
      </c>
      <c r="N80" s="318" t="str" cm="1">
        <f t="array" ref="N80">IFERROR(IF(_xll.BDP($D80, "RR052")="#N/A Invalid Security", "", _xll.BDP($D80, "RR052")),"")</f>
        <v/>
      </c>
      <c r="O80" s="318" t="str" cm="1">
        <f t="array" ref="O80">IFERROR(IF(_xll.BDP($D80, "BE051")="#N/A Invalid Security", "", _xll.BDP($D80, "BE051")),"")</f>
        <v/>
      </c>
    </row>
    <row r="81" spans="3:15" x14ac:dyDescent="0.25">
      <c r="C81" s="66"/>
      <c r="D81" s="317" t="str">
        <f t="shared" si="7"/>
        <v/>
      </c>
      <c r="E81" s="317" t="str" cm="1">
        <f t="array" ref="E81">IFERROR(IF(_xll.BDP(D81, "DS002")="#N/A Invalid Security", "", _xll.BDP(D81, "DS002")),"")</f>
        <v/>
      </c>
      <c r="F81" s="318" t="str" cm="1">
        <f t="array" ref="F81">IFERROR(IF(_xll.BDP($D81, "PR005")="#N/A Invalid Security", "", _xll.BDP($D81, "PR005")),"")</f>
        <v/>
      </c>
      <c r="G81" s="318" t="str" cm="1">
        <f t="array" ref="G81">IFERROR(IF(_xll.BDP($D81, "RR902")="#N/A Invalid Security", "", _xll.BDP($D81, "RR902")/1000000),"")</f>
        <v/>
      </c>
      <c r="H81" s="304" t="str" cm="1">
        <f t="array" ref="H81">IFERROR(IF(_xll.BDP($D81, "RR472")="#N/A Invalid Security", "", _xll.BDP($D81, "RR472")),"")</f>
        <v/>
      </c>
      <c r="I81" s="318" t="str" cm="1">
        <f t="array" ref="I81">IFERROR(IF(_xll.BDP($D81, "IS010")="#N/A Invalid Security", "", _xll.BDP($D81, "IS010")),"")</f>
        <v/>
      </c>
      <c r="J81" s="322" t="str" cm="1">
        <f t="array" ref="J81">IFERROR(IF(_xll.BDP($D81, "RR009")="#N/A Invalid Security", "", _xll.BDP($D81, "RR009")),"")</f>
        <v/>
      </c>
      <c r="K81" s="318" t="str" cm="1">
        <f t="array" ref="K81">IFERROR(IF(_xll.BDP($D81, "IS810")="#N/A Invalid Security", "", _xll.BDP($D81, "IS810")),"")</f>
        <v/>
      </c>
      <c r="L81" s="302" t="str" cm="1">
        <f t="array" ref="L81">IFERROR(IF(_xll.BDP($D81, "RR957")="#N/A Invalid Security", "", _xll.BDP($D81, "RR957")),"")</f>
        <v/>
      </c>
      <c r="M81" s="302" t="str" cm="1">
        <f t="array" ref="M81">IFERROR(IF(_xll.BDP($D81, "RR956")="#N/A Invalid Security", "", _xll.BDP($D81, "RR956")),"")</f>
        <v/>
      </c>
      <c r="N81" s="318" t="str" cm="1">
        <f t="array" ref="N81">IFERROR(IF(_xll.BDP($D81, "RR052")="#N/A Invalid Security", "", _xll.BDP($D81, "RR052")),"")</f>
        <v/>
      </c>
      <c r="O81" s="318" t="str" cm="1">
        <f t="array" ref="O81">IFERROR(IF(_xll.BDP($D81, "BE051")="#N/A Invalid Security", "", _xll.BDP($D81, "BE051")),"")</f>
        <v/>
      </c>
    </row>
    <row r="82" spans="3:15" x14ac:dyDescent="0.25">
      <c r="C82" s="66"/>
      <c r="D82" s="317" t="str">
        <f t="shared" si="7"/>
        <v/>
      </c>
      <c r="E82" s="317" t="str" cm="1">
        <f t="array" ref="E82">IFERROR(IF(_xll.BDP(D82, "DS002")="#N/A Invalid Security", "", _xll.BDP(D82, "DS002")),"")</f>
        <v/>
      </c>
      <c r="F82" s="318" t="str" cm="1">
        <f t="array" ref="F82">IFERROR(IF(_xll.BDP($D82, "PR005")="#N/A Invalid Security", "", _xll.BDP($D82, "PR005")),"")</f>
        <v/>
      </c>
      <c r="G82" s="318" t="str" cm="1">
        <f t="array" ref="G82">IFERROR(IF(_xll.BDP($D82, "RR902")="#N/A Invalid Security", "", _xll.BDP($D82, "RR902")/1000000),"")</f>
        <v/>
      </c>
      <c r="H82" s="304" t="str" cm="1">
        <f t="array" ref="H82">IFERROR(IF(_xll.BDP($D82, "RR472")="#N/A Invalid Security", "", _xll.BDP($D82, "RR472")),"")</f>
        <v/>
      </c>
      <c r="I82" s="318" t="str" cm="1">
        <f t="array" ref="I82">IFERROR(IF(_xll.BDP($D82, "IS010")="#N/A Invalid Security", "", _xll.BDP($D82, "IS010")),"")</f>
        <v/>
      </c>
      <c r="J82" s="322" t="str" cm="1">
        <f t="array" ref="J82">IFERROR(IF(_xll.BDP($D82, "RR009")="#N/A Invalid Security", "", _xll.BDP($D82, "RR009")),"")</f>
        <v/>
      </c>
      <c r="K82" s="318" t="str" cm="1">
        <f t="array" ref="K82">IFERROR(IF(_xll.BDP($D82, "IS810")="#N/A Invalid Security", "", _xll.BDP($D82, "IS810")),"")</f>
        <v/>
      </c>
      <c r="L82" s="302" t="str" cm="1">
        <f t="array" ref="L82">IFERROR(IF(_xll.BDP($D82, "RR957")="#N/A Invalid Security", "", _xll.BDP($D82, "RR957")),"")</f>
        <v/>
      </c>
      <c r="M82" s="302" t="str" cm="1">
        <f t="array" ref="M82">IFERROR(IF(_xll.BDP($D82, "RR956")="#N/A Invalid Security", "", _xll.BDP($D82, "RR956")),"")</f>
        <v/>
      </c>
      <c r="N82" s="318" t="str" cm="1">
        <f t="array" ref="N82">IFERROR(IF(_xll.BDP($D82, "RR052")="#N/A Invalid Security", "", _xll.BDP($D82, "RR052")),"")</f>
        <v/>
      </c>
      <c r="O82" s="318" t="str" cm="1">
        <f t="array" ref="O82">IFERROR(IF(_xll.BDP($D82, "BE051")="#N/A Invalid Security", "", _xll.BDP($D82, "BE051")),"")</f>
        <v/>
      </c>
    </row>
    <row r="83" spans="3:15" x14ac:dyDescent="0.25">
      <c r="C83" s="66"/>
      <c r="D83" s="317" t="str">
        <f t="shared" si="7"/>
        <v/>
      </c>
      <c r="E83" s="317" t="str" cm="1">
        <f t="array" ref="E83">IFERROR(IF(_xll.BDP(D83, "DS002")="#N/A Invalid Security", "", _xll.BDP(D83, "DS002")),"")</f>
        <v/>
      </c>
      <c r="F83" s="318" t="str" cm="1">
        <f t="array" ref="F83">IFERROR(IF(_xll.BDP($D83, "PR005")="#N/A Invalid Security", "", _xll.BDP($D83, "PR005")),"")</f>
        <v/>
      </c>
      <c r="G83" s="318" t="str" cm="1">
        <f t="array" ref="G83">IFERROR(IF(_xll.BDP($D83, "RR902")="#N/A Invalid Security", "", _xll.BDP($D83, "RR902")/1000000),"")</f>
        <v/>
      </c>
      <c r="H83" s="304" t="str" cm="1">
        <f t="array" ref="H83">IFERROR(IF(_xll.BDP($D83, "RR472")="#N/A Invalid Security", "", _xll.BDP($D83, "RR472")),"")</f>
        <v/>
      </c>
      <c r="I83" s="318" t="str" cm="1">
        <f t="array" ref="I83">IFERROR(IF(_xll.BDP($D83, "IS010")="#N/A Invalid Security", "", _xll.BDP($D83, "IS010")),"")</f>
        <v/>
      </c>
      <c r="J83" s="322" t="str" cm="1">
        <f t="array" ref="J83">IFERROR(IF(_xll.BDP($D83, "RR009")="#N/A Invalid Security", "", _xll.BDP($D83, "RR009")),"")</f>
        <v/>
      </c>
      <c r="K83" s="318" t="str" cm="1">
        <f t="array" ref="K83">IFERROR(IF(_xll.BDP($D83, "IS810")="#N/A Invalid Security", "", _xll.BDP($D83, "IS810")),"")</f>
        <v/>
      </c>
      <c r="L83" s="302" t="str" cm="1">
        <f t="array" ref="L83">IFERROR(IF(_xll.BDP($D83, "RR957")="#N/A Invalid Security", "", _xll.BDP($D83, "RR957")),"")</f>
        <v/>
      </c>
      <c r="M83" s="302" t="str" cm="1">
        <f t="array" ref="M83">IFERROR(IF(_xll.BDP($D83, "RR956")="#N/A Invalid Security", "", _xll.BDP($D83, "RR956")),"")</f>
        <v/>
      </c>
      <c r="N83" s="318" t="str" cm="1">
        <f t="array" ref="N83">IFERROR(IF(_xll.BDP($D83, "RR052")="#N/A Invalid Security", "", _xll.BDP($D83, "RR052")),"")</f>
        <v/>
      </c>
      <c r="O83" s="318" t="str" cm="1">
        <f t="array" ref="O83">IFERROR(IF(_xll.BDP($D83, "BE051")="#N/A Invalid Security", "", _xll.BDP($D83, "BE051")),"")</f>
        <v/>
      </c>
    </row>
    <row r="84" spans="3:15" x14ac:dyDescent="0.25">
      <c r="C84" s="66"/>
      <c r="D84" s="317" t="str">
        <f t="shared" si="7"/>
        <v/>
      </c>
      <c r="E84" s="317" t="str" cm="1">
        <f t="array" ref="E84">IFERROR(IF(_xll.BDP(D84, "DS002")="#N/A Invalid Security", "", _xll.BDP(D84, "DS002")),"")</f>
        <v/>
      </c>
      <c r="F84" s="318" t="str" cm="1">
        <f t="array" ref="F84">IFERROR(IF(_xll.BDP($D84, "PR005")="#N/A Invalid Security", "", _xll.BDP($D84, "PR005")),"")</f>
        <v/>
      </c>
      <c r="G84" s="318" t="str" cm="1">
        <f t="array" ref="G84">IFERROR(IF(_xll.BDP($D84, "RR902")="#N/A Invalid Security", "", _xll.BDP($D84, "RR902")/1000000),"")</f>
        <v/>
      </c>
      <c r="H84" s="304" t="str" cm="1">
        <f t="array" ref="H84">IFERROR(IF(_xll.BDP($D84, "RR472")="#N/A Invalid Security", "", _xll.BDP($D84, "RR472")),"")</f>
        <v/>
      </c>
      <c r="I84" s="318" t="str" cm="1">
        <f t="array" ref="I84">IFERROR(IF(_xll.BDP($D84, "IS010")="#N/A Invalid Security", "", _xll.BDP($D84, "IS010")),"")</f>
        <v/>
      </c>
      <c r="J84" s="322" t="str" cm="1">
        <f t="array" ref="J84">IFERROR(IF(_xll.BDP($D84, "RR009")="#N/A Invalid Security", "", _xll.BDP($D84, "RR009")),"")</f>
        <v/>
      </c>
      <c r="K84" s="318" t="str" cm="1">
        <f t="array" ref="K84">IFERROR(IF(_xll.BDP($D84, "IS810")="#N/A Invalid Security", "", _xll.BDP($D84, "IS810")),"")</f>
        <v/>
      </c>
      <c r="L84" s="302" t="str" cm="1">
        <f t="array" ref="L84">IFERROR(IF(_xll.BDP($D84, "RR957")="#N/A Invalid Security", "", _xll.BDP($D84, "RR957")),"")</f>
        <v/>
      </c>
      <c r="M84" s="302" t="str" cm="1">
        <f t="array" ref="M84">IFERROR(IF(_xll.BDP($D84, "RR956")="#N/A Invalid Security", "", _xll.BDP($D84, "RR956")),"")</f>
        <v/>
      </c>
      <c r="N84" s="318" t="str" cm="1">
        <f t="array" ref="N84">IFERROR(IF(_xll.BDP($D84, "RR052")="#N/A Invalid Security", "", _xll.BDP($D84, "RR052")),"")</f>
        <v/>
      </c>
      <c r="O84" s="318" t="str" cm="1">
        <f t="array" ref="O84">IFERROR(IF(_xll.BDP($D84, "BE051")="#N/A Invalid Security", "", _xll.BDP($D84, "BE051")),"")</f>
        <v/>
      </c>
    </row>
    <row r="85" spans="3:15" x14ac:dyDescent="0.25">
      <c r="C85" s="66"/>
      <c r="D85" s="317" t="str">
        <f t="shared" si="7"/>
        <v/>
      </c>
      <c r="E85" s="317" t="str" cm="1">
        <f t="array" ref="E85">IFERROR(IF(_xll.BDP(D85, "DS002")="#N/A Invalid Security", "", _xll.BDP(D85, "DS002")),"")</f>
        <v/>
      </c>
      <c r="F85" s="318" t="str" cm="1">
        <f t="array" ref="F85">IFERROR(IF(_xll.BDP($D85, "PR005")="#N/A Invalid Security", "", _xll.BDP($D85, "PR005")),"")</f>
        <v/>
      </c>
      <c r="G85" s="318" t="str" cm="1">
        <f t="array" ref="G85">IFERROR(IF(_xll.BDP($D85, "RR902")="#N/A Invalid Security", "", _xll.BDP($D85, "RR902")/1000000),"")</f>
        <v/>
      </c>
      <c r="H85" s="304" t="str" cm="1">
        <f t="array" ref="H85">IFERROR(IF(_xll.BDP($D85, "RR472")="#N/A Invalid Security", "", _xll.BDP($D85, "RR472")),"")</f>
        <v/>
      </c>
      <c r="I85" s="318" t="str" cm="1">
        <f t="array" ref="I85">IFERROR(IF(_xll.BDP($D85, "IS010")="#N/A Invalid Security", "", _xll.BDP($D85, "IS010")),"")</f>
        <v/>
      </c>
      <c r="J85" s="322" t="str" cm="1">
        <f t="array" ref="J85">IFERROR(IF(_xll.BDP($D85, "RR009")="#N/A Invalid Security", "", _xll.BDP($D85, "RR009")),"")</f>
        <v/>
      </c>
      <c r="K85" s="318" t="str" cm="1">
        <f t="array" ref="K85">IFERROR(IF(_xll.BDP($D85, "IS810")="#N/A Invalid Security", "", _xll.BDP($D85, "IS810")),"")</f>
        <v/>
      </c>
      <c r="L85" s="302" t="str" cm="1">
        <f t="array" ref="L85">IFERROR(IF(_xll.BDP($D85, "RR957")="#N/A Invalid Security", "", _xll.BDP($D85, "RR957")),"")</f>
        <v/>
      </c>
      <c r="M85" s="302" t="str" cm="1">
        <f t="array" ref="M85">IFERROR(IF(_xll.BDP($D85, "RR956")="#N/A Invalid Security", "", _xll.BDP($D85, "RR956")),"")</f>
        <v/>
      </c>
      <c r="N85" s="318" t="str" cm="1">
        <f t="array" ref="N85">IFERROR(IF(_xll.BDP($D85, "RR052")="#N/A Invalid Security", "", _xll.BDP($D85, "RR052")),"")</f>
        <v/>
      </c>
      <c r="O85" s="318" t="str" cm="1">
        <f t="array" ref="O85">IFERROR(IF(_xll.BDP($D85, "BE051")="#N/A Invalid Security", "", _xll.BDP($D85, "BE051")),"")</f>
        <v/>
      </c>
    </row>
    <row r="86" spans="3:15" x14ac:dyDescent="0.25">
      <c r="C86" s="66"/>
      <c r="D86" s="317" t="str">
        <f t="shared" si="7"/>
        <v/>
      </c>
      <c r="E86" s="317" t="str" cm="1">
        <f t="array" ref="E86">IFERROR(IF(_xll.BDP(D86, "DS002")="#N/A Invalid Security", "", _xll.BDP(D86, "DS002")),"")</f>
        <v/>
      </c>
      <c r="F86" s="318" t="str" cm="1">
        <f t="array" ref="F86">IFERROR(IF(_xll.BDP($D86, "PR005")="#N/A Invalid Security", "", _xll.BDP($D86, "PR005")),"")</f>
        <v/>
      </c>
      <c r="G86" s="318" t="str" cm="1">
        <f t="array" ref="G86">IFERROR(IF(_xll.BDP($D86, "RR902")="#N/A Invalid Security", "", _xll.BDP($D86, "RR902")/1000000),"")</f>
        <v/>
      </c>
      <c r="H86" s="304" t="str" cm="1">
        <f t="array" ref="H86">IFERROR(IF(_xll.BDP($D86, "RR472")="#N/A Invalid Security", "", _xll.BDP($D86, "RR472")),"")</f>
        <v/>
      </c>
      <c r="I86" s="318" t="str" cm="1">
        <f t="array" ref="I86">IFERROR(IF(_xll.BDP($D86, "IS010")="#N/A Invalid Security", "", _xll.BDP($D86, "IS010")),"")</f>
        <v/>
      </c>
      <c r="J86" s="322" t="str" cm="1">
        <f t="array" ref="J86">IFERROR(IF(_xll.BDP($D86, "RR009")="#N/A Invalid Security", "", _xll.BDP($D86, "RR009")),"")</f>
        <v/>
      </c>
      <c r="K86" s="318" t="str" cm="1">
        <f t="array" ref="K86">IFERROR(IF(_xll.BDP($D86, "IS810")="#N/A Invalid Security", "", _xll.BDP($D86, "IS810")),"")</f>
        <v/>
      </c>
      <c r="L86" s="302" t="str" cm="1">
        <f t="array" ref="L86">IFERROR(IF(_xll.BDP($D86, "RR957")="#N/A Invalid Security", "", _xll.BDP($D86, "RR957")),"")</f>
        <v/>
      </c>
      <c r="M86" s="302" t="str" cm="1">
        <f t="array" ref="M86">IFERROR(IF(_xll.BDP($D86, "RR956")="#N/A Invalid Security", "", _xll.BDP($D86, "RR956")),"")</f>
        <v/>
      </c>
      <c r="N86" s="318" t="str" cm="1">
        <f t="array" ref="N86">IFERROR(IF(_xll.BDP($D86, "RR052")="#N/A Invalid Security", "", _xll.BDP($D86, "RR052")),"")</f>
        <v/>
      </c>
      <c r="O86" s="318" t="str" cm="1">
        <f t="array" ref="O86">IFERROR(IF(_xll.BDP($D86, "BE051")="#N/A Invalid Security", "", _xll.BDP($D86, "BE051")),"")</f>
        <v/>
      </c>
    </row>
    <row r="87" spans="3:15" x14ac:dyDescent="0.25">
      <c r="C87" s="66"/>
      <c r="D87" s="317" t="str">
        <f t="shared" si="7"/>
        <v/>
      </c>
      <c r="E87" s="317" t="str" cm="1">
        <f t="array" ref="E87">IFERROR(IF(_xll.BDP(D87, "DS002")="#N/A Invalid Security", "", _xll.BDP(D87, "DS002")),"")</f>
        <v/>
      </c>
      <c r="F87" s="318" t="str" cm="1">
        <f t="array" ref="F87">IFERROR(IF(_xll.BDP($D87, "PR005")="#N/A Invalid Security", "", _xll.BDP($D87, "PR005")),"")</f>
        <v/>
      </c>
      <c r="G87" s="318" t="str" cm="1">
        <f t="array" ref="G87">IFERROR(IF(_xll.BDP($D87, "RR902")="#N/A Invalid Security", "", _xll.BDP($D87, "RR902")/1000000),"")</f>
        <v/>
      </c>
      <c r="H87" s="304" t="str" cm="1">
        <f t="array" ref="H87">IFERROR(IF(_xll.BDP($D87, "RR472")="#N/A Invalid Security", "", _xll.BDP($D87, "RR472")),"")</f>
        <v/>
      </c>
      <c r="I87" s="318" t="str" cm="1">
        <f t="array" ref="I87">IFERROR(IF(_xll.BDP($D87, "IS010")="#N/A Invalid Security", "", _xll.BDP($D87, "IS010")),"")</f>
        <v/>
      </c>
      <c r="J87" s="322" t="str" cm="1">
        <f t="array" ref="J87">IFERROR(IF(_xll.BDP($D87, "RR009")="#N/A Invalid Security", "", _xll.BDP($D87, "RR009")),"")</f>
        <v/>
      </c>
      <c r="K87" s="318" t="str" cm="1">
        <f t="array" ref="K87">IFERROR(IF(_xll.BDP($D87, "IS810")="#N/A Invalid Security", "", _xll.BDP($D87, "IS810")),"")</f>
        <v/>
      </c>
      <c r="L87" s="302" t="str" cm="1">
        <f t="array" ref="L87">IFERROR(IF(_xll.BDP($D87, "RR957")="#N/A Invalid Security", "", _xll.BDP($D87, "RR957")),"")</f>
        <v/>
      </c>
      <c r="M87" s="302" t="str" cm="1">
        <f t="array" ref="M87">IFERROR(IF(_xll.BDP($D87, "RR956")="#N/A Invalid Security", "", _xll.BDP($D87, "RR956")),"")</f>
        <v/>
      </c>
      <c r="N87" s="318" t="str" cm="1">
        <f t="array" ref="N87">IFERROR(IF(_xll.BDP($D87, "RR052")="#N/A Invalid Security", "", _xll.BDP($D87, "RR052")),"")</f>
        <v/>
      </c>
      <c r="O87" s="318" t="str" cm="1">
        <f t="array" ref="O87">IFERROR(IF(_xll.BDP($D87, "BE051")="#N/A Invalid Security", "", _xll.BDP($D87, "BE051")),"")</f>
        <v/>
      </c>
    </row>
    <row r="88" spans="3:15" x14ac:dyDescent="0.25">
      <c r="C88" s="66"/>
      <c r="D88" s="317" t="str">
        <f t="shared" si="7"/>
        <v/>
      </c>
      <c r="E88" s="317" t="str" cm="1">
        <f t="array" ref="E88">IFERROR(IF(_xll.BDP(D88, "DS002")="#N/A Invalid Security", "", _xll.BDP(D88, "DS002")),"")</f>
        <v/>
      </c>
      <c r="F88" s="318" t="str" cm="1">
        <f t="array" ref="F88">IFERROR(IF(_xll.BDP($D88, "PR005")="#N/A Invalid Security", "", _xll.BDP($D88, "PR005")),"")</f>
        <v/>
      </c>
      <c r="G88" s="318" t="str" cm="1">
        <f t="array" ref="G88">IFERROR(IF(_xll.BDP($D88, "RR902")="#N/A Invalid Security", "", _xll.BDP($D88, "RR902")/1000000),"")</f>
        <v/>
      </c>
      <c r="H88" s="304" t="str" cm="1">
        <f t="array" ref="H88">IFERROR(IF(_xll.BDP($D88, "RR472")="#N/A Invalid Security", "", _xll.BDP($D88, "RR472")),"")</f>
        <v/>
      </c>
      <c r="I88" s="318" t="str" cm="1">
        <f t="array" ref="I88">IFERROR(IF(_xll.BDP($D88, "IS010")="#N/A Invalid Security", "", _xll.BDP($D88, "IS010")),"")</f>
        <v/>
      </c>
      <c r="J88" s="322" t="str" cm="1">
        <f t="array" ref="J88">IFERROR(IF(_xll.BDP($D88, "RR009")="#N/A Invalid Security", "", _xll.BDP($D88, "RR009")),"")</f>
        <v/>
      </c>
      <c r="K88" s="318" t="str" cm="1">
        <f t="array" ref="K88">IFERROR(IF(_xll.BDP($D88, "IS810")="#N/A Invalid Security", "", _xll.BDP($D88, "IS810")),"")</f>
        <v/>
      </c>
      <c r="L88" s="302" t="str" cm="1">
        <f t="array" ref="L88">IFERROR(IF(_xll.BDP($D88, "RR957")="#N/A Invalid Security", "", _xll.BDP($D88, "RR957")),"")</f>
        <v/>
      </c>
      <c r="M88" s="302" t="str" cm="1">
        <f t="array" ref="M88">IFERROR(IF(_xll.BDP($D88, "RR956")="#N/A Invalid Security", "", _xll.BDP($D88, "RR956")),"")</f>
        <v/>
      </c>
      <c r="N88" s="318" t="str" cm="1">
        <f t="array" ref="N88">IFERROR(IF(_xll.BDP($D88, "RR052")="#N/A Invalid Security", "", _xll.BDP($D88, "RR052")),"")</f>
        <v/>
      </c>
      <c r="O88" s="318" t="str" cm="1">
        <f t="array" ref="O88">IFERROR(IF(_xll.BDP($D88, "BE051")="#N/A Invalid Security", "", _xll.BDP($D88, "BE051")),"")</f>
        <v/>
      </c>
    </row>
    <row r="89" spans="3:15" x14ac:dyDescent="0.25">
      <c r="C89" s="66"/>
      <c r="D89" s="317" t="str">
        <f t="shared" si="7"/>
        <v/>
      </c>
      <c r="E89" s="317" t="str" cm="1">
        <f t="array" ref="E89">IFERROR(IF(_xll.BDP(D89, "DS002")="#N/A Invalid Security", "", _xll.BDP(D89, "DS002")),"")</f>
        <v/>
      </c>
      <c r="F89" s="318" t="str" cm="1">
        <f t="array" ref="F89">IFERROR(IF(_xll.BDP($D89, "PR005")="#N/A Invalid Security", "", _xll.BDP($D89, "PR005")),"")</f>
        <v/>
      </c>
      <c r="G89" s="318" t="str" cm="1">
        <f t="array" ref="G89">IFERROR(IF(_xll.BDP($D89, "RR902")="#N/A Invalid Security", "", _xll.BDP($D89, "RR902")/1000000),"")</f>
        <v/>
      </c>
      <c r="H89" s="304" t="str" cm="1">
        <f t="array" ref="H89">IFERROR(IF(_xll.BDP($D89, "RR472")="#N/A Invalid Security", "", _xll.BDP($D89, "RR472")),"")</f>
        <v/>
      </c>
      <c r="I89" s="318" t="str" cm="1">
        <f t="array" ref="I89">IFERROR(IF(_xll.BDP($D89, "IS010")="#N/A Invalid Security", "", _xll.BDP($D89, "IS010")),"")</f>
        <v/>
      </c>
      <c r="J89" s="322" t="str" cm="1">
        <f t="array" ref="J89">IFERROR(IF(_xll.BDP($D89, "RR009")="#N/A Invalid Security", "", _xll.BDP($D89, "RR009")),"")</f>
        <v/>
      </c>
      <c r="K89" s="318" t="str" cm="1">
        <f t="array" ref="K89">IFERROR(IF(_xll.BDP($D89, "IS810")="#N/A Invalid Security", "", _xll.BDP($D89, "IS810")),"")</f>
        <v/>
      </c>
      <c r="L89" s="302" t="str" cm="1">
        <f t="array" ref="L89">IFERROR(IF(_xll.BDP($D89, "RR957")="#N/A Invalid Security", "", _xll.BDP($D89, "RR957")),"")</f>
        <v/>
      </c>
      <c r="M89" s="302" t="str" cm="1">
        <f t="array" ref="M89">IFERROR(IF(_xll.BDP($D89, "RR956")="#N/A Invalid Security", "", _xll.BDP($D89, "RR956")),"")</f>
        <v/>
      </c>
      <c r="N89" s="318" t="str" cm="1">
        <f t="array" ref="N89">IFERROR(IF(_xll.BDP($D89, "RR052")="#N/A Invalid Security", "", _xll.BDP($D89, "RR052")),"")</f>
        <v/>
      </c>
      <c r="O89" s="318" t="str" cm="1">
        <f t="array" ref="O89">IFERROR(IF(_xll.BDP($D89, "BE051")="#N/A Invalid Security", "", _xll.BDP($D89, "BE051")),"")</f>
        <v/>
      </c>
    </row>
    <row r="90" spans="3:15" x14ac:dyDescent="0.25">
      <c r="C90" s="66"/>
      <c r="D90" s="317" t="str">
        <f t="shared" si="7"/>
        <v/>
      </c>
      <c r="E90" s="317" t="str" cm="1">
        <f t="array" ref="E90">IFERROR(IF(_xll.BDP(D90, "DS002")="#N/A Invalid Security", "", _xll.BDP(D90, "DS002")),"")</f>
        <v/>
      </c>
      <c r="F90" s="318" t="str" cm="1">
        <f t="array" ref="F90">IFERROR(IF(_xll.BDP($D90, "PR005")="#N/A Invalid Security", "", _xll.BDP($D90, "PR005")),"")</f>
        <v/>
      </c>
      <c r="G90" s="318" t="str" cm="1">
        <f t="array" ref="G90">IFERROR(IF(_xll.BDP($D90, "RR902")="#N/A Invalid Security", "", _xll.BDP($D90, "RR902")/1000000),"")</f>
        <v/>
      </c>
      <c r="H90" s="304" t="str" cm="1">
        <f t="array" ref="H90">IFERROR(IF(_xll.BDP($D90, "RR472")="#N/A Invalid Security", "", _xll.BDP($D90, "RR472")),"")</f>
        <v/>
      </c>
      <c r="I90" s="318" t="str" cm="1">
        <f t="array" ref="I90">IFERROR(IF(_xll.BDP($D90, "IS010")="#N/A Invalid Security", "", _xll.BDP($D90, "IS010")),"")</f>
        <v/>
      </c>
      <c r="J90" s="322" t="str" cm="1">
        <f t="array" ref="J90">IFERROR(IF(_xll.BDP($D90, "RR009")="#N/A Invalid Security", "", _xll.BDP($D90, "RR009")),"")</f>
        <v/>
      </c>
      <c r="K90" s="318" t="str" cm="1">
        <f t="array" ref="K90">IFERROR(IF(_xll.BDP($D90, "IS810")="#N/A Invalid Security", "", _xll.BDP($D90, "IS810")),"")</f>
        <v/>
      </c>
      <c r="L90" s="302" t="str" cm="1">
        <f t="array" ref="L90">IFERROR(IF(_xll.BDP($D90, "RR957")="#N/A Invalid Security", "", _xll.BDP($D90, "RR957")),"")</f>
        <v/>
      </c>
      <c r="M90" s="302" t="str" cm="1">
        <f t="array" ref="M90">IFERROR(IF(_xll.BDP($D90, "RR956")="#N/A Invalid Security", "", _xll.BDP($D90, "RR956")),"")</f>
        <v/>
      </c>
      <c r="N90" s="318" t="str" cm="1">
        <f t="array" ref="N90">IFERROR(IF(_xll.BDP($D90, "RR052")="#N/A Invalid Security", "", _xll.BDP($D90, "RR052")),"")</f>
        <v/>
      </c>
      <c r="O90" s="318" t="str" cm="1">
        <f t="array" ref="O90">IFERROR(IF(_xll.BDP($D90, "BE051")="#N/A Invalid Security", "", _xll.BDP($D90, "BE051")),"")</f>
        <v/>
      </c>
    </row>
    <row r="91" spans="3:15" x14ac:dyDescent="0.25">
      <c r="C91" s="66"/>
      <c r="D91" s="317" t="str">
        <f t="shared" si="7"/>
        <v/>
      </c>
      <c r="E91" s="317" t="str" cm="1">
        <f t="array" ref="E91">IFERROR(IF(_xll.BDP(D91, "DS002")="#N/A Invalid Security", "", _xll.BDP(D91, "DS002")),"")</f>
        <v/>
      </c>
      <c r="F91" s="318" t="str" cm="1">
        <f t="array" ref="F91">IFERROR(IF(_xll.BDP($D91, "PR005")="#N/A Invalid Security", "", _xll.BDP($D91, "PR005")),"")</f>
        <v/>
      </c>
      <c r="G91" s="318" t="str" cm="1">
        <f t="array" ref="G91">IFERROR(IF(_xll.BDP($D91, "RR902")="#N/A Invalid Security", "", _xll.BDP($D91, "RR902")/1000000),"")</f>
        <v/>
      </c>
      <c r="H91" s="304" t="str" cm="1">
        <f t="array" ref="H91">IFERROR(IF(_xll.BDP($D91, "RR472")="#N/A Invalid Security", "", _xll.BDP($D91, "RR472")),"")</f>
        <v/>
      </c>
      <c r="I91" s="318" t="str" cm="1">
        <f t="array" ref="I91">IFERROR(IF(_xll.BDP($D91, "IS010")="#N/A Invalid Security", "", _xll.BDP($D91, "IS010")),"")</f>
        <v/>
      </c>
      <c r="J91" s="322" t="str" cm="1">
        <f t="array" ref="J91">IFERROR(IF(_xll.BDP($D91, "RR009")="#N/A Invalid Security", "", _xll.BDP($D91, "RR009")),"")</f>
        <v/>
      </c>
      <c r="K91" s="318" t="str" cm="1">
        <f t="array" ref="K91">IFERROR(IF(_xll.BDP($D91, "IS810")="#N/A Invalid Security", "", _xll.BDP($D91, "IS810")),"")</f>
        <v/>
      </c>
      <c r="L91" s="302" t="str" cm="1">
        <f t="array" ref="L91">IFERROR(IF(_xll.BDP($D91, "RR957")="#N/A Invalid Security", "", _xll.BDP($D91, "RR957")),"")</f>
        <v/>
      </c>
      <c r="M91" s="302" t="str" cm="1">
        <f t="array" ref="M91">IFERROR(IF(_xll.BDP($D91, "RR956")="#N/A Invalid Security", "", _xll.BDP($D91, "RR956")),"")</f>
        <v/>
      </c>
      <c r="N91" s="318" t="str" cm="1">
        <f t="array" ref="N91">IFERROR(IF(_xll.BDP($D91, "RR052")="#N/A Invalid Security", "", _xll.BDP($D91, "RR052")),"")</f>
        <v/>
      </c>
      <c r="O91" s="318" t="str" cm="1">
        <f t="array" ref="O91">IFERROR(IF(_xll.BDP($D91, "BE051")="#N/A Invalid Security", "", _xll.BDP($D91, "BE051")),"")</f>
        <v/>
      </c>
    </row>
    <row r="92" spans="3:15" x14ac:dyDescent="0.25">
      <c r="C92" s="66"/>
      <c r="D92" s="317" t="str">
        <f t="shared" si="7"/>
        <v/>
      </c>
      <c r="E92" s="317" t="str" cm="1">
        <f t="array" ref="E92">IFERROR(IF(_xll.BDP(D92, "DS002")="#N/A Invalid Security", "", _xll.BDP(D92, "DS002")),"")</f>
        <v/>
      </c>
      <c r="F92" s="318" t="str" cm="1">
        <f t="array" ref="F92">IFERROR(IF(_xll.BDP($D92, "PR005")="#N/A Invalid Security", "", _xll.BDP($D92, "PR005")),"")</f>
        <v/>
      </c>
      <c r="G92" s="318" t="str" cm="1">
        <f t="array" ref="G92">IFERROR(IF(_xll.BDP($D92, "RR902")="#N/A Invalid Security", "", _xll.BDP($D92, "RR902")/1000000),"")</f>
        <v/>
      </c>
      <c r="H92" s="304" t="str" cm="1">
        <f t="array" ref="H92">IFERROR(IF(_xll.BDP($D92, "RR472")="#N/A Invalid Security", "", _xll.BDP($D92, "RR472")),"")</f>
        <v/>
      </c>
      <c r="I92" s="318" t="str" cm="1">
        <f t="array" ref="I92">IFERROR(IF(_xll.BDP($D92, "IS010")="#N/A Invalid Security", "", _xll.BDP($D92, "IS010")),"")</f>
        <v/>
      </c>
      <c r="J92" s="322" t="str" cm="1">
        <f t="array" ref="J92">IFERROR(IF(_xll.BDP($D92, "RR009")="#N/A Invalid Security", "", _xll.BDP($D92, "RR009")),"")</f>
        <v/>
      </c>
      <c r="K92" s="318" t="str" cm="1">
        <f t="array" ref="K92">IFERROR(IF(_xll.BDP($D92, "IS810")="#N/A Invalid Security", "", _xll.BDP($D92, "IS810")),"")</f>
        <v/>
      </c>
      <c r="L92" s="302" t="str" cm="1">
        <f t="array" ref="L92">IFERROR(IF(_xll.BDP($D92, "RR957")="#N/A Invalid Security", "", _xll.BDP($D92, "RR957")),"")</f>
        <v/>
      </c>
      <c r="M92" s="302" t="str" cm="1">
        <f t="array" ref="M92">IFERROR(IF(_xll.BDP($D92, "RR956")="#N/A Invalid Security", "", _xll.BDP($D92, "RR956")),"")</f>
        <v/>
      </c>
      <c r="N92" s="318" t="str" cm="1">
        <f t="array" ref="N92">IFERROR(IF(_xll.BDP($D92, "RR052")="#N/A Invalid Security", "", _xll.BDP($D92, "RR052")),"")</f>
        <v/>
      </c>
      <c r="O92" s="318" t="str" cm="1">
        <f t="array" ref="O92">IFERROR(IF(_xll.BDP($D92, "BE051")="#N/A Invalid Security", "", _xll.BDP($D92, "BE051")),"")</f>
        <v/>
      </c>
    </row>
    <row r="93" spans="3:15" x14ac:dyDescent="0.25">
      <c r="C93" s="66"/>
      <c r="D93" s="317" t="str">
        <f t="shared" si="7"/>
        <v/>
      </c>
      <c r="E93" s="317" t="str" cm="1">
        <f t="array" ref="E93">IFERROR(IF(_xll.BDP(D93, "DS002")="#N/A Invalid Security", "", _xll.BDP(D93, "DS002")),"")</f>
        <v/>
      </c>
      <c r="F93" s="318" t="str" cm="1">
        <f t="array" ref="F93">IFERROR(IF(_xll.BDP($D93, "PR005")="#N/A Invalid Security", "", _xll.BDP($D93, "PR005")),"")</f>
        <v/>
      </c>
      <c r="G93" s="318" t="str" cm="1">
        <f t="array" ref="G93">IFERROR(IF(_xll.BDP($D93, "RR902")="#N/A Invalid Security", "", _xll.BDP($D93, "RR902")/1000000),"")</f>
        <v/>
      </c>
      <c r="H93" s="304" t="str" cm="1">
        <f t="array" ref="H93">IFERROR(IF(_xll.BDP($D93, "RR472")="#N/A Invalid Security", "", _xll.BDP($D93, "RR472")),"")</f>
        <v/>
      </c>
      <c r="I93" s="318" t="str" cm="1">
        <f t="array" ref="I93">IFERROR(IF(_xll.BDP($D93, "IS010")="#N/A Invalid Security", "", _xll.BDP($D93, "IS010")),"")</f>
        <v/>
      </c>
      <c r="J93" s="322" t="str" cm="1">
        <f t="array" ref="J93">IFERROR(IF(_xll.BDP($D93, "RR009")="#N/A Invalid Security", "", _xll.BDP($D93, "RR009")),"")</f>
        <v/>
      </c>
      <c r="K93" s="318" t="str" cm="1">
        <f t="array" ref="K93">IFERROR(IF(_xll.BDP($D93, "IS810")="#N/A Invalid Security", "", _xll.BDP($D93, "IS810")),"")</f>
        <v/>
      </c>
      <c r="L93" s="302" t="str" cm="1">
        <f t="array" ref="L93">IFERROR(IF(_xll.BDP($D93, "RR957")="#N/A Invalid Security", "", _xll.BDP($D93, "RR957")),"")</f>
        <v/>
      </c>
      <c r="M93" s="302" t="str" cm="1">
        <f t="array" ref="M93">IFERROR(IF(_xll.BDP($D93, "RR956")="#N/A Invalid Security", "", _xll.BDP($D93, "RR956")),"")</f>
        <v/>
      </c>
      <c r="N93" s="318" t="str" cm="1">
        <f t="array" ref="N93">IFERROR(IF(_xll.BDP($D93, "RR052")="#N/A Invalid Security", "", _xll.BDP($D93, "RR052")),"")</f>
        <v/>
      </c>
      <c r="O93" s="318" t="str" cm="1">
        <f t="array" ref="O93">IFERROR(IF(_xll.BDP($D93, "BE051")="#N/A Invalid Security", "", _xll.BDP($D93, "BE051")),"")</f>
        <v/>
      </c>
    </row>
    <row r="94" spans="3:15" x14ac:dyDescent="0.25">
      <c r="C94" s="66"/>
      <c r="D94" s="317" t="str">
        <f t="shared" si="7"/>
        <v/>
      </c>
      <c r="E94" s="317" t="str" cm="1">
        <f t="array" ref="E94">IFERROR(IF(_xll.BDP(D94, "DS002")="#N/A Invalid Security", "", _xll.BDP(D94, "DS002")),"")</f>
        <v/>
      </c>
      <c r="F94" s="318" t="str" cm="1">
        <f t="array" ref="F94">IFERROR(IF(_xll.BDP($D94, "PR005")="#N/A Invalid Security", "", _xll.BDP($D94, "PR005")),"")</f>
        <v/>
      </c>
      <c r="G94" s="318" t="str" cm="1">
        <f t="array" ref="G94">IFERROR(IF(_xll.BDP($D94, "RR902")="#N/A Invalid Security", "", _xll.BDP($D94, "RR902")/1000000),"")</f>
        <v/>
      </c>
      <c r="H94" s="304" t="str" cm="1">
        <f t="array" ref="H94">IFERROR(IF(_xll.BDP($D94, "RR472")="#N/A Invalid Security", "", _xll.BDP($D94, "RR472")),"")</f>
        <v/>
      </c>
      <c r="I94" s="318" t="str" cm="1">
        <f t="array" ref="I94">IFERROR(IF(_xll.BDP($D94, "IS010")="#N/A Invalid Security", "", _xll.BDP($D94, "IS010")),"")</f>
        <v/>
      </c>
      <c r="J94" s="322" t="str" cm="1">
        <f t="array" ref="J94">IFERROR(IF(_xll.BDP($D94, "RR009")="#N/A Invalid Security", "", _xll.BDP($D94, "RR009")),"")</f>
        <v/>
      </c>
      <c r="K94" s="318" t="str" cm="1">
        <f t="array" ref="K94">IFERROR(IF(_xll.BDP($D94, "IS810")="#N/A Invalid Security", "", _xll.BDP($D94, "IS810")),"")</f>
        <v/>
      </c>
      <c r="L94" s="302" t="str" cm="1">
        <f t="array" ref="L94">IFERROR(IF(_xll.BDP($D94, "RR957")="#N/A Invalid Security", "", _xll.BDP($D94, "RR957")),"")</f>
        <v/>
      </c>
      <c r="M94" s="302" t="str" cm="1">
        <f t="array" ref="M94">IFERROR(IF(_xll.BDP($D94, "RR956")="#N/A Invalid Security", "", _xll.BDP($D94, "RR956")),"")</f>
        <v/>
      </c>
      <c r="N94" s="318" t="str" cm="1">
        <f t="array" ref="N94">IFERROR(IF(_xll.BDP($D94, "RR052")="#N/A Invalid Security", "", _xll.BDP($D94, "RR052")),"")</f>
        <v/>
      </c>
      <c r="O94" s="318" t="str" cm="1">
        <f t="array" ref="O94">IFERROR(IF(_xll.BDP($D94, "BE051")="#N/A Invalid Security", "", _xll.BDP($D94, "BE051")),"")</f>
        <v/>
      </c>
    </row>
    <row r="95" spans="3:15" x14ac:dyDescent="0.25">
      <c r="C95" s="66"/>
      <c r="D95" s="317" t="str">
        <f t="shared" si="7"/>
        <v/>
      </c>
      <c r="E95" s="317" t="str" cm="1">
        <f t="array" ref="E95">IFERROR(IF(_xll.BDP(D95, "DS002")="#N/A Invalid Security", "", _xll.BDP(D95, "DS002")),"")</f>
        <v/>
      </c>
      <c r="F95" s="318" t="str" cm="1">
        <f t="array" ref="F95">IFERROR(IF(_xll.BDP($D95, "PR005")="#N/A Invalid Security", "", _xll.BDP($D95, "PR005")),"")</f>
        <v/>
      </c>
      <c r="G95" s="318" t="str" cm="1">
        <f t="array" ref="G95">IFERROR(IF(_xll.BDP($D95, "RR902")="#N/A Invalid Security", "", _xll.BDP($D95, "RR902")/1000000),"")</f>
        <v/>
      </c>
      <c r="H95" s="304" t="str" cm="1">
        <f t="array" ref="H95">IFERROR(IF(_xll.BDP($D95, "RR472")="#N/A Invalid Security", "", _xll.BDP($D95, "RR472")),"")</f>
        <v/>
      </c>
      <c r="I95" s="318" t="str" cm="1">
        <f t="array" ref="I95">IFERROR(IF(_xll.BDP($D95, "IS010")="#N/A Invalid Security", "", _xll.BDP($D95, "IS010")),"")</f>
        <v/>
      </c>
      <c r="J95" s="322" t="str" cm="1">
        <f t="array" ref="J95">IFERROR(IF(_xll.BDP($D95, "RR009")="#N/A Invalid Security", "", _xll.BDP($D95, "RR009")),"")</f>
        <v/>
      </c>
      <c r="K95" s="318" t="str" cm="1">
        <f t="array" ref="K95">IFERROR(IF(_xll.BDP($D95, "IS810")="#N/A Invalid Security", "", _xll.BDP($D95, "IS810")),"")</f>
        <v/>
      </c>
      <c r="L95" s="302" t="str" cm="1">
        <f t="array" ref="L95">IFERROR(IF(_xll.BDP($D95, "RR957")="#N/A Invalid Security", "", _xll.BDP($D95, "RR957")),"")</f>
        <v/>
      </c>
      <c r="M95" s="302" t="str" cm="1">
        <f t="array" ref="M95">IFERROR(IF(_xll.BDP($D95, "RR956")="#N/A Invalid Security", "", _xll.BDP($D95, "RR956")),"")</f>
        <v/>
      </c>
      <c r="N95" s="318" t="str" cm="1">
        <f t="array" ref="N95">IFERROR(IF(_xll.BDP($D95, "RR052")="#N/A Invalid Security", "", _xll.BDP($D95, "RR052")),"")</f>
        <v/>
      </c>
      <c r="O95" s="318" t="str" cm="1">
        <f t="array" ref="O95">IFERROR(IF(_xll.BDP($D95, "BE051")="#N/A Invalid Security", "", _xll.BDP($D95, "BE051")),"")</f>
        <v/>
      </c>
    </row>
    <row r="96" spans="3:15" x14ac:dyDescent="0.25">
      <c r="C96" s="66"/>
      <c r="D96" s="317" t="str">
        <f t="shared" si="7"/>
        <v/>
      </c>
      <c r="E96" s="317" t="str" cm="1">
        <f t="array" ref="E96">IFERROR(IF(_xll.BDP(D96, "DS002")="#N/A Invalid Security", "", _xll.BDP(D96, "DS002")),"")</f>
        <v/>
      </c>
      <c r="F96" s="318" t="str" cm="1">
        <f t="array" ref="F96">IFERROR(IF(_xll.BDP($D96, "PR005")="#N/A Invalid Security", "", _xll.BDP($D96, "PR005")),"")</f>
        <v/>
      </c>
      <c r="G96" s="318" t="str" cm="1">
        <f t="array" ref="G96">IFERROR(IF(_xll.BDP($D96, "RR902")="#N/A Invalid Security", "", _xll.BDP($D96, "RR902")/1000000),"")</f>
        <v/>
      </c>
      <c r="H96" s="304" t="str" cm="1">
        <f t="array" ref="H96">IFERROR(IF(_xll.BDP($D96, "RR472")="#N/A Invalid Security", "", _xll.BDP($D96, "RR472")),"")</f>
        <v/>
      </c>
      <c r="I96" s="318" t="str" cm="1">
        <f t="array" ref="I96">IFERROR(IF(_xll.BDP($D96, "IS010")="#N/A Invalid Security", "", _xll.BDP($D96, "IS010")),"")</f>
        <v/>
      </c>
      <c r="J96" s="322" t="str" cm="1">
        <f t="array" ref="J96">IFERROR(IF(_xll.BDP($D96, "RR009")="#N/A Invalid Security", "", _xll.BDP($D96, "RR009")),"")</f>
        <v/>
      </c>
      <c r="K96" s="318" t="str" cm="1">
        <f t="array" ref="K96">IFERROR(IF(_xll.BDP($D96, "IS810")="#N/A Invalid Security", "", _xll.BDP($D96, "IS810")),"")</f>
        <v/>
      </c>
      <c r="L96" s="302" t="str" cm="1">
        <f t="array" ref="L96">IFERROR(IF(_xll.BDP($D96, "RR957")="#N/A Invalid Security", "", _xll.BDP($D96, "RR957")),"")</f>
        <v/>
      </c>
      <c r="M96" s="302" t="str" cm="1">
        <f t="array" ref="M96">IFERROR(IF(_xll.BDP($D96, "RR956")="#N/A Invalid Security", "", _xll.BDP($D96, "RR956")),"")</f>
        <v/>
      </c>
      <c r="N96" s="318" t="str" cm="1">
        <f t="array" ref="N96">IFERROR(IF(_xll.BDP($D96, "RR052")="#N/A Invalid Security", "", _xll.BDP($D96, "RR052")),"")</f>
        <v/>
      </c>
      <c r="O96" s="318" t="str" cm="1">
        <f t="array" ref="O96">IFERROR(IF(_xll.BDP($D96, "BE051")="#N/A Invalid Security", "", _xll.BDP($D96, "BE051")),"")</f>
        <v/>
      </c>
    </row>
    <row r="97" spans="3:15" x14ac:dyDescent="0.25">
      <c r="C97" s="66"/>
      <c r="D97" s="317" t="str">
        <f t="shared" si="7"/>
        <v/>
      </c>
      <c r="E97" s="317" t="str" cm="1">
        <f t="array" ref="E97">IFERROR(IF(_xll.BDP(D97, "DS002")="#N/A Invalid Security", "", _xll.BDP(D97, "DS002")),"")</f>
        <v/>
      </c>
      <c r="F97" s="318" t="str" cm="1">
        <f t="array" ref="F97">IFERROR(IF(_xll.BDP($D97, "PR005")="#N/A Invalid Security", "", _xll.BDP($D97, "PR005")),"")</f>
        <v/>
      </c>
      <c r="G97" s="318" t="str" cm="1">
        <f t="array" ref="G97">IFERROR(IF(_xll.BDP($D97, "RR902")="#N/A Invalid Security", "", _xll.BDP($D97, "RR902")/1000000),"")</f>
        <v/>
      </c>
      <c r="H97" s="304" t="str" cm="1">
        <f t="array" ref="H97">IFERROR(IF(_xll.BDP($D97, "RR472")="#N/A Invalid Security", "", _xll.BDP($D97, "RR472")),"")</f>
        <v/>
      </c>
      <c r="I97" s="318" t="str" cm="1">
        <f t="array" ref="I97">IFERROR(IF(_xll.BDP($D97, "IS010")="#N/A Invalid Security", "", _xll.BDP($D97, "IS010")),"")</f>
        <v/>
      </c>
      <c r="J97" s="322" t="str" cm="1">
        <f t="array" ref="J97">IFERROR(IF(_xll.BDP($D97, "RR009")="#N/A Invalid Security", "", _xll.BDP($D97, "RR009")),"")</f>
        <v/>
      </c>
      <c r="K97" s="318" t="str" cm="1">
        <f t="array" ref="K97">IFERROR(IF(_xll.BDP($D97, "IS810")="#N/A Invalid Security", "", _xll.BDP($D97, "IS810")),"")</f>
        <v/>
      </c>
      <c r="L97" s="302" t="str" cm="1">
        <f t="array" ref="L97">IFERROR(IF(_xll.BDP($D97, "RR957")="#N/A Invalid Security", "", _xll.BDP($D97, "RR957")),"")</f>
        <v/>
      </c>
      <c r="M97" s="302" t="str" cm="1">
        <f t="array" ref="M97">IFERROR(IF(_xll.BDP($D97, "RR956")="#N/A Invalid Security", "", _xll.BDP($D97, "RR956")),"")</f>
        <v/>
      </c>
      <c r="N97" s="318" t="str" cm="1">
        <f t="array" ref="N97">IFERROR(IF(_xll.BDP($D97, "RR052")="#N/A Invalid Security", "", _xll.BDP($D97, "RR052")),"")</f>
        <v/>
      </c>
      <c r="O97" s="318" t="str" cm="1">
        <f t="array" ref="O97">IFERROR(IF(_xll.BDP($D97, "BE051")="#N/A Invalid Security", "", _xll.BDP($D97, "BE051")),"")</f>
        <v/>
      </c>
    </row>
    <row r="98" spans="3:15" x14ac:dyDescent="0.25">
      <c r="C98" s="66"/>
      <c r="D98" s="317" t="str">
        <f t="shared" si="7"/>
        <v/>
      </c>
      <c r="E98" s="317" t="str" cm="1">
        <f t="array" ref="E98">IFERROR(IF(_xll.BDP(D98, "DS002")="#N/A Invalid Security", "", _xll.BDP(D98, "DS002")),"")</f>
        <v/>
      </c>
      <c r="F98" s="318" t="str" cm="1">
        <f t="array" ref="F98">IFERROR(IF(_xll.BDP($D98, "PR005")="#N/A Invalid Security", "", _xll.BDP($D98, "PR005")),"")</f>
        <v/>
      </c>
      <c r="G98" s="318" t="str" cm="1">
        <f t="array" ref="G98">IFERROR(IF(_xll.BDP($D98, "RR902")="#N/A Invalid Security", "", _xll.BDP($D98, "RR902")/1000000),"")</f>
        <v/>
      </c>
      <c r="H98" s="304" t="str" cm="1">
        <f t="array" ref="H98">IFERROR(IF(_xll.BDP($D98, "RR472")="#N/A Invalid Security", "", _xll.BDP($D98, "RR472")),"")</f>
        <v/>
      </c>
      <c r="I98" s="318" t="str" cm="1">
        <f t="array" ref="I98">IFERROR(IF(_xll.BDP($D98, "IS010")="#N/A Invalid Security", "", _xll.BDP($D98, "IS010")),"")</f>
        <v/>
      </c>
      <c r="J98" s="322" t="str" cm="1">
        <f t="array" ref="J98">IFERROR(IF(_xll.BDP($D98, "RR009")="#N/A Invalid Security", "", _xll.BDP($D98, "RR009")),"")</f>
        <v/>
      </c>
      <c r="K98" s="318" t="str" cm="1">
        <f t="array" ref="K98">IFERROR(IF(_xll.BDP($D98, "IS810")="#N/A Invalid Security", "", _xll.BDP($D98, "IS810")),"")</f>
        <v/>
      </c>
      <c r="L98" s="302" t="str" cm="1">
        <f t="array" ref="L98">IFERROR(IF(_xll.BDP($D98, "RR957")="#N/A Invalid Security", "", _xll.BDP($D98, "RR957")),"")</f>
        <v/>
      </c>
      <c r="M98" s="302" t="str" cm="1">
        <f t="array" ref="M98">IFERROR(IF(_xll.BDP($D98, "RR956")="#N/A Invalid Security", "", _xll.BDP($D98, "RR956")),"")</f>
        <v/>
      </c>
      <c r="N98" s="318" t="str" cm="1">
        <f t="array" ref="N98">IFERROR(IF(_xll.BDP($D98, "RR052")="#N/A Invalid Security", "", _xll.BDP($D98, "RR052")),"")</f>
        <v/>
      </c>
      <c r="O98" s="318" t="str" cm="1">
        <f t="array" ref="O98">IFERROR(IF(_xll.BDP($D98, "BE051")="#N/A Invalid Security", "", _xll.BDP($D98, "BE051")),"")</f>
        <v/>
      </c>
    </row>
    <row r="99" spans="3:15" x14ac:dyDescent="0.25">
      <c r="C99" s="66"/>
      <c r="D99" s="317" t="str">
        <f t="shared" si="7"/>
        <v/>
      </c>
      <c r="E99" s="317" t="str" cm="1">
        <f t="array" ref="E99">IFERROR(IF(_xll.BDP(D99, "DS002")="#N/A Invalid Security", "", _xll.BDP(D99, "DS002")),"")</f>
        <v/>
      </c>
      <c r="F99" s="318" t="str" cm="1">
        <f t="array" ref="F99">IFERROR(IF(_xll.BDP($D99, "PR005")="#N/A Invalid Security", "", _xll.BDP($D99, "PR005")),"")</f>
        <v/>
      </c>
      <c r="G99" s="318" t="str" cm="1">
        <f t="array" ref="G99">IFERROR(IF(_xll.BDP($D99, "RR902")="#N/A Invalid Security", "", _xll.BDP($D99, "RR902")/1000000),"")</f>
        <v/>
      </c>
      <c r="H99" s="304" t="str" cm="1">
        <f t="array" ref="H99">IFERROR(IF(_xll.BDP($D99, "RR472")="#N/A Invalid Security", "", _xll.BDP($D99, "RR472")),"")</f>
        <v/>
      </c>
      <c r="I99" s="318" t="str" cm="1">
        <f t="array" ref="I99">IFERROR(IF(_xll.BDP($D99, "IS010")="#N/A Invalid Security", "", _xll.BDP($D99, "IS010")),"")</f>
        <v/>
      </c>
      <c r="J99" s="322" t="str" cm="1">
        <f t="array" ref="J99">IFERROR(IF(_xll.BDP($D99, "RR009")="#N/A Invalid Security", "", _xll.BDP($D99, "RR009")),"")</f>
        <v/>
      </c>
      <c r="K99" s="318" t="str" cm="1">
        <f t="array" ref="K99">IFERROR(IF(_xll.BDP($D99, "IS810")="#N/A Invalid Security", "", _xll.BDP($D99, "IS810")),"")</f>
        <v/>
      </c>
      <c r="L99" s="302" t="str" cm="1">
        <f t="array" ref="L99">IFERROR(IF(_xll.BDP($D99, "RR957")="#N/A Invalid Security", "", _xll.BDP($D99, "RR957")),"")</f>
        <v/>
      </c>
      <c r="M99" s="302" t="str" cm="1">
        <f t="array" ref="M99">IFERROR(IF(_xll.BDP($D99, "RR956")="#N/A Invalid Security", "", _xll.BDP($D99, "RR956")),"")</f>
        <v/>
      </c>
      <c r="N99" s="318" t="str" cm="1">
        <f t="array" ref="N99">IFERROR(IF(_xll.BDP($D99, "RR052")="#N/A Invalid Security", "", _xll.BDP($D99, "RR052")),"")</f>
        <v/>
      </c>
      <c r="O99" s="318" t="str" cm="1">
        <f t="array" ref="O99">IFERROR(IF(_xll.BDP($D99, "BE051")="#N/A Invalid Security", "", _xll.BDP($D99, "BE051")),"")</f>
        <v/>
      </c>
    </row>
    <row r="100" spans="3:15" x14ac:dyDescent="0.25">
      <c r="C100" s="66"/>
      <c r="D100" s="317" t="str">
        <f t="shared" si="7"/>
        <v/>
      </c>
      <c r="E100" s="317" t="str" cm="1">
        <f t="array" ref="E100">IFERROR(IF(_xll.BDP(D100, "DS002")="#N/A Invalid Security", "", _xll.BDP(D100, "DS002")),"")</f>
        <v/>
      </c>
      <c r="F100" s="318" t="str" cm="1">
        <f t="array" ref="F100">IFERROR(IF(_xll.BDP($D100, "PR005")="#N/A Invalid Security", "", _xll.BDP($D100, "PR005")),"")</f>
        <v/>
      </c>
      <c r="G100" s="318" t="str" cm="1">
        <f t="array" ref="G100">IFERROR(IF(_xll.BDP($D100, "RR902")="#N/A Invalid Security", "", _xll.BDP($D100, "RR902")/1000000),"")</f>
        <v/>
      </c>
      <c r="H100" s="304" t="str" cm="1">
        <f t="array" ref="H100">IFERROR(IF(_xll.BDP($D100, "RR472")="#N/A Invalid Security", "", _xll.BDP($D100, "RR472")),"")</f>
        <v/>
      </c>
      <c r="I100" s="318" t="str" cm="1">
        <f t="array" ref="I100">IFERROR(IF(_xll.BDP($D100, "IS010")="#N/A Invalid Security", "", _xll.BDP($D100, "IS010")),"")</f>
        <v/>
      </c>
      <c r="J100" s="322" t="str" cm="1">
        <f t="array" ref="J100">IFERROR(IF(_xll.BDP($D100, "RR009")="#N/A Invalid Security", "", _xll.BDP($D100, "RR009")),"")</f>
        <v/>
      </c>
      <c r="K100" s="318" t="str" cm="1">
        <f t="array" ref="K100">IFERROR(IF(_xll.BDP($D100, "IS810")="#N/A Invalid Security", "", _xll.BDP($D100, "IS810")),"")</f>
        <v/>
      </c>
      <c r="L100" s="302" t="str" cm="1">
        <f t="array" ref="L100">IFERROR(IF(_xll.BDP($D100, "RR957")="#N/A Invalid Security", "", _xll.BDP($D100, "RR957")),"")</f>
        <v/>
      </c>
      <c r="M100" s="302" t="str" cm="1">
        <f t="array" ref="M100">IFERROR(IF(_xll.BDP($D100, "RR956")="#N/A Invalid Security", "", _xll.BDP($D100, "RR956")),"")</f>
        <v/>
      </c>
      <c r="N100" s="318" t="str" cm="1">
        <f t="array" ref="N100">IFERROR(IF(_xll.BDP($D100, "RR052")="#N/A Invalid Security", "", _xll.BDP($D100, "RR052")),"")</f>
        <v/>
      </c>
      <c r="O100" s="318" t="str" cm="1">
        <f t="array" ref="O100">IFERROR(IF(_xll.BDP($D100, "BE051")="#N/A Invalid Security", "", _xll.BDP($D100, "BE051")),"")</f>
        <v/>
      </c>
    </row>
    <row r="101" spans="3:15" x14ac:dyDescent="0.25">
      <c r="C101" s="66"/>
      <c r="D101" s="317" t="str">
        <f t="shared" si="7"/>
        <v/>
      </c>
      <c r="E101" s="317" t="str" cm="1">
        <f t="array" ref="E101">IFERROR(IF(_xll.BDP(D101, "DS002")="#N/A Invalid Security", "", _xll.BDP(D101, "DS002")),"")</f>
        <v/>
      </c>
      <c r="F101" s="318" t="str" cm="1">
        <f t="array" ref="F101">IFERROR(IF(_xll.BDP($D101, "PR005")="#N/A Invalid Security", "", _xll.BDP($D101, "PR005")),"")</f>
        <v/>
      </c>
      <c r="G101" s="318" t="str" cm="1">
        <f t="array" ref="G101">IFERROR(IF(_xll.BDP($D101, "RR902")="#N/A Invalid Security", "", _xll.BDP($D101, "RR902")/1000000),"")</f>
        <v/>
      </c>
      <c r="H101" s="304" t="str" cm="1">
        <f t="array" ref="H101">IFERROR(IF(_xll.BDP($D101, "RR472")="#N/A Invalid Security", "", _xll.BDP($D101, "RR472")),"")</f>
        <v/>
      </c>
      <c r="I101" s="318" t="str" cm="1">
        <f t="array" ref="I101">IFERROR(IF(_xll.BDP($D101, "IS010")="#N/A Invalid Security", "", _xll.BDP($D101, "IS010")),"")</f>
        <v/>
      </c>
      <c r="J101" s="322" t="str" cm="1">
        <f t="array" ref="J101">IFERROR(IF(_xll.BDP($D101, "RR009")="#N/A Invalid Security", "", _xll.BDP($D101, "RR009")),"")</f>
        <v/>
      </c>
      <c r="K101" s="318" t="str" cm="1">
        <f t="array" ref="K101">IFERROR(IF(_xll.BDP($D101, "IS810")="#N/A Invalid Security", "", _xll.BDP($D101, "IS810")),"")</f>
        <v/>
      </c>
      <c r="L101" s="302" t="str" cm="1">
        <f t="array" ref="L101">IFERROR(IF(_xll.BDP($D101, "RR957")="#N/A Invalid Security", "", _xll.BDP($D101, "RR957")),"")</f>
        <v/>
      </c>
      <c r="M101" s="302" t="str" cm="1">
        <f t="array" ref="M101">IFERROR(IF(_xll.BDP($D101, "RR956")="#N/A Invalid Security", "", _xll.BDP($D101, "RR956")),"")</f>
        <v/>
      </c>
      <c r="N101" s="318" t="str" cm="1">
        <f t="array" ref="N101">IFERROR(IF(_xll.BDP($D101, "RR052")="#N/A Invalid Security", "", _xll.BDP($D101, "RR052")),"")</f>
        <v/>
      </c>
      <c r="O101" s="318" t="str" cm="1">
        <f t="array" ref="O101">IFERROR(IF(_xll.BDP($D101, "BE051")="#N/A Invalid Security", "", _xll.BDP($D101, "BE051")),"")</f>
        <v/>
      </c>
    </row>
    <row r="102" spans="3:15" x14ac:dyDescent="0.25">
      <c r="C102" s="66"/>
      <c r="D102" s="317" t="str">
        <f t="shared" si="7"/>
        <v/>
      </c>
      <c r="E102" s="317" t="str" cm="1">
        <f t="array" ref="E102">IFERROR(IF(_xll.BDP(D102, "DS002")="#N/A Invalid Security", "", _xll.BDP(D102, "DS002")),"")</f>
        <v/>
      </c>
      <c r="F102" s="318" t="str" cm="1">
        <f t="array" ref="F102">IFERROR(IF(_xll.BDP($D102, "PR005")="#N/A Invalid Security", "", _xll.BDP($D102, "PR005")),"")</f>
        <v/>
      </c>
      <c r="G102" s="318" t="str" cm="1">
        <f t="array" ref="G102">IFERROR(IF(_xll.BDP($D102, "RR902")="#N/A Invalid Security", "", _xll.BDP($D102, "RR902")/1000000),"")</f>
        <v/>
      </c>
      <c r="H102" s="304" t="str" cm="1">
        <f t="array" ref="H102">IFERROR(IF(_xll.BDP($D102, "RR472")="#N/A Invalid Security", "", _xll.BDP($D102, "RR472")),"")</f>
        <v/>
      </c>
      <c r="I102" s="318" t="str" cm="1">
        <f t="array" ref="I102">IFERROR(IF(_xll.BDP($D102, "IS010")="#N/A Invalid Security", "", _xll.BDP($D102, "IS010")),"")</f>
        <v/>
      </c>
      <c r="J102" s="322" t="str" cm="1">
        <f t="array" ref="J102">IFERROR(IF(_xll.BDP($D102, "RR009")="#N/A Invalid Security", "", _xll.BDP($D102, "RR009")),"")</f>
        <v/>
      </c>
      <c r="K102" s="318" t="str" cm="1">
        <f t="array" ref="K102">IFERROR(IF(_xll.BDP($D102, "IS810")="#N/A Invalid Security", "", _xll.BDP($D102, "IS810")),"")</f>
        <v/>
      </c>
      <c r="L102" s="302" t="str" cm="1">
        <f t="array" ref="L102">IFERROR(IF(_xll.BDP($D102, "RR957")="#N/A Invalid Security", "", _xll.BDP($D102, "RR957")),"")</f>
        <v/>
      </c>
      <c r="M102" s="302" t="str" cm="1">
        <f t="array" ref="M102">IFERROR(IF(_xll.BDP($D102, "RR956")="#N/A Invalid Security", "", _xll.BDP($D102, "RR956")),"")</f>
        <v/>
      </c>
      <c r="N102" s="318" t="str" cm="1">
        <f t="array" ref="N102">IFERROR(IF(_xll.BDP($D102, "RR052")="#N/A Invalid Security", "", _xll.BDP($D102, "RR052")),"")</f>
        <v/>
      </c>
      <c r="O102" s="318" t="str" cm="1">
        <f t="array" ref="O102">IFERROR(IF(_xll.BDP($D102, "BE051")="#N/A Invalid Security", "", _xll.BDP($D102, "BE051")),"")</f>
        <v/>
      </c>
    </row>
    <row r="103" spans="3:15" x14ac:dyDescent="0.25">
      <c r="C103" s="66"/>
      <c r="D103" s="317" t="str">
        <f t="shared" si="7"/>
        <v/>
      </c>
      <c r="E103" s="317" t="str" cm="1">
        <f t="array" ref="E103">IFERROR(IF(_xll.BDP(D103, "DS002")="#N/A Invalid Security", "", _xll.BDP(D103, "DS002")),"")</f>
        <v/>
      </c>
      <c r="F103" s="318" t="str" cm="1">
        <f t="array" ref="F103">IFERROR(IF(_xll.BDP($D103, "PR005")="#N/A Invalid Security", "", _xll.BDP($D103, "PR005")),"")</f>
        <v/>
      </c>
      <c r="G103" s="318" t="str" cm="1">
        <f t="array" ref="G103">IFERROR(IF(_xll.BDP($D103, "RR902")="#N/A Invalid Security", "", _xll.BDP($D103, "RR902")/1000000),"")</f>
        <v/>
      </c>
      <c r="H103" s="304" t="str" cm="1">
        <f t="array" ref="H103">IFERROR(IF(_xll.BDP($D103, "RR472")="#N/A Invalid Security", "", _xll.BDP($D103, "RR472")),"")</f>
        <v/>
      </c>
      <c r="I103" s="318" t="str" cm="1">
        <f t="array" ref="I103">IFERROR(IF(_xll.BDP($D103, "IS010")="#N/A Invalid Security", "", _xll.BDP($D103, "IS010")),"")</f>
        <v/>
      </c>
      <c r="J103" s="322" t="str" cm="1">
        <f t="array" ref="J103">IFERROR(IF(_xll.BDP($D103, "RR009")="#N/A Invalid Security", "", _xll.BDP($D103, "RR009")),"")</f>
        <v/>
      </c>
      <c r="K103" s="318" t="str" cm="1">
        <f t="array" ref="K103">IFERROR(IF(_xll.BDP($D103, "IS810")="#N/A Invalid Security", "", _xll.BDP($D103, "IS810")),"")</f>
        <v/>
      </c>
      <c r="L103" s="302" t="str" cm="1">
        <f t="array" ref="L103">IFERROR(IF(_xll.BDP($D103, "RR957")="#N/A Invalid Security", "", _xll.BDP($D103, "RR957")),"")</f>
        <v/>
      </c>
      <c r="M103" s="302" t="str" cm="1">
        <f t="array" ref="M103">IFERROR(IF(_xll.BDP($D103, "RR956")="#N/A Invalid Security", "", _xll.BDP($D103, "RR956")),"")</f>
        <v/>
      </c>
      <c r="N103" s="318" t="str" cm="1">
        <f t="array" ref="N103">IFERROR(IF(_xll.BDP($D103, "RR052")="#N/A Invalid Security", "", _xll.BDP($D103, "RR052")),"")</f>
        <v/>
      </c>
      <c r="O103" s="318" t="str" cm="1">
        <f t="array" ref="O103">IFERROR(IF(_xll.BDP($D103, "BE051")="#N/A Invalid Security", "", _xll.BDP($D103, "BE051")),"")</f>
        <v/>
      </c>
    </row>
    <row r="104" spans="3:15" x14ac:dyDescent="0.25">
      <c r="C104" s="66"/>
      <c r="D104" s="317" t="str">
        <f t="shared" si="7"/>
        <v/>
      </c>
      <c r="E104" s="317" t="str" cm="1">
        <f t="array" ref="E104">IFERROR(IF(_xll.BDP(D104, "DS002")="#N/A Invalid Security", "", _xll.BDP(D104, "DS002")),"")</f>
        <v/>
      </c>
      <c r="F104" s="318" t="str" cm="1">
        <f t="array" ref="F104">IFERROR(IF(_xll.BDP($D104, "PR005")="#N/A Invalid Security", "", _xll.BDP($D104, "PR005")),"")</f>
        <v/>
      </c>
      <c r="G104" s="318" t="str" cm="1">
        <f t="array" ref="G104">IFERROR(IF(_xll.BDP($D104, "RR902")="#N/A Invalid Security", "", _xll.BDP($D104, "RR902")/1000000),"")</f>
        <v/>
      </c>
      <c r="H104" s="304" t="str" cm="1">
        <f t="array" ref="H104">IFERROR(IF(_xll.BDP($D104, "RR472")="#N/A Invalid Security", "", _xll.BDP($D104, "RR472")),"")</f>
        <v/>
      </c>
      <c r="I104" s="318" t="str" cm="1">
        <f t="array" ref="I104">IFERROR(IF(_xll.BDP($D104, "IS010")="#N/A Invalid Security", "", _xll.BDP($D104, "IS010")),"")</f>
        <v/>
      </c>
      <c r="J104" s="322" t="str" cm="1">
        <f t="array" ref="J104">IFERROR(IF(_xll.BDP($D104, "RR009")="#N/A Invalid Security", "", _xll.BDP($D104, "RR009")),"")</f>
        <v/>
      </c>
      <c r="K104" s="318" t="str" cm="1">
        <f t="array" ref="K104">IFERROR(IF(_xll.BDP($D104, "IS810")="#N/A Invalid Security", "", _xll.BDP($D104, "IS810")),"")</f>
        <v/>
      </c>
      <c r="L104" s="302" t="str" cm="1">
        <f t="array" ref="L104">IFERROR(IF(_xll.BDP($D104, "RR957")="#N/A Invalid Security", "", _xll.BDP($D104, "RR957")),"")</f>
        <v/>
      </c>
      <c r="M104" s="302" t="str" cm="1">
        <f t="array" ref="M104">IFERROR(IF(_xll.BDP($D104, "RR956")="#N/A Invalid Security", "", _xll.BDP($D104, "RR956")),"")</f>
        <v/>
      </c>
      <c r="N104" s="318" t="str" cm="1">
        <f t="array" ref="N104">IFERROR(IF(_xll.BDP($D104, "RR052")="#N/A Invalid Security", "", _xll.BDP($D104, "RR052")),"")</f>
        <v/>
      </c>
      <c r="O104" s="318" t="str" cm="1">
        <f t="array" ref="O104">IFERROR(IF(_xll.BDP($D104, "BE051")="#N/A Invalid Security", "", _xll.BDP($D104, "BE051")),"")</f>
        <v/>
      </c>
    </row>
    <row r="105" spans="3:15" x14ac:dyDescent="0.25">
      <c r="C105" s="66"/>
      <c r="D105" s="317" t="str">
        <f t="shared" si="7"/>
        <v/>
      </c>
      <c r="E105" s="317" t="str" cm="1">
        <f t="array" ref="E105">IFERROR(IF(_xll.BDP(D105, "DS002")="#N/A Invalid Security", "", _xll.BDP(D105, "DS002")),"")</f>
        <v/>
      </c>
      <c r="F105" s="318" t="str" cm="1">
        <f t="array" ref="F105">IFERROR(IF(_xll.BDP($D105, "PR005")="#N/A Invalid Security", "", _xll.BDP($D105, "PR005")),"")</f>
        <v/>
      </c>
      <c r="G105" s="318" t="str" cm="1">
        <f t="array" ref="G105">IFERROR(IF(_xll.BDP($D105, "RR902")="#N/A Invalid Security", "", _xll.BDP($D105, "RR902")/1000000),"")</f>
        <v/>
      </c>
      <c r="H105" s="304" t="str" cm="1">
        <f t="array" ref="H105">IFERROR(IF(_xll.BDP($D105, "RR472")="#N/A Invalid Security", "", _xll.BDP($D105, "RR472")),"")</f>
        <v/>
      </c>
      <c r="I105" s="318" t="str" cm="1">
        <f t="array" ref="I105">IFERROR(IF(_xll.BDP($D105, "IS010")="#N/A Invalid Security", "", _xll.BDP($D105, "IS010")),"")</f>
        <v/>
      </c>
      <c r="J105" s="322" t="str" cm="1">
        <f t="array" ref="J105">IFERROR(IF(_xll.BDP($D105, "RR009")="#N/A Invalid Security", "", _xll.BDP($D105, "RR009")),"")</f>
        <v/>
      </c>
      <c r="K105" s="318" t="str" cm="1">
        <f t="array" ref="K105">IFERROR(IF(_xll.BDP($D105, "IS810")="#N/A Invalid Security", "", _xll.BDP($D105, "IS810")),"")</f>
        <v/>
      </c>
      <c r="L105" s="302" t="str" cm="1">
        <f t="array" ref="L105">IFERROR(IF(_xll.BDP($D105, "RR957")="#N/A Invalid Security", "", _xll.BDP($D105, "RR957")),"")</f>
        <v/>
      </c>
      <c r="M105" s="302" t="str" cm="1">
        <f t="array" ref="M105">IFERROR(IF(_xll.BDP($D105, "RR956")="#N/A Invalid Security", "", _xll.BDP($D105, "RR956")),"")</f>
        <v/>
      </c>
      <c r="N105" s="318" t="str" cm="1">
        <f t="array" ref="N105">IFERROR(IF(_xll.BDP($D105, "RR052")="#N/A Invalid Security", "", _xll.BDP($D105, "RR052")),"")</f>
        <v/>
      </c>
      <c r="O105" s="318" t="str" cm="1">
        <f t="array" ref="O105">IFERROR(IF(_xll.BDP($D105, "BE051")="#N/A Invalid Security", "", _xll.BDP($D105, "BE051")),"")</f>
        <v/>
      </c>
    </row>
    <row r="106" spans="3:15" x14ac:dyDescent="0.25">
      <c r="C106" s="66"/>
      <c r="D106" s="317" t="str">
        <f t="shared" si="7"/>
        <v/>
      </c>
      <c r="E106" s="317" t="str" cm="1">
        <f t="array" ref="E106">IFERROR(IF(_xll.BDP(D106, "DS002")="#N/A Invalid Security", "", _xll.BDP(D106, "DS002")),"")</f>
        <v/>
      </c>
      <c r="F106" s="318" t="str" cm="1">
        <f t="array" ref="F106">IFERROR(IF(_xll.BDP($D106, "PR005")="#N/A Invalid Security", "", _xll.BDP($D106, "PR005")),"")</f>
        <v/>
      </c>
      <c r="G106" s="318" t="str" cm="1">
        <f t="array" ref="G106">IFERROR(IF(_xll.BDP($D106, "RR902")="#N/A Invalid Security", "", _xll.BDP($D106, "RR902")/1000000),"")</f>
        <v/>
      </c>
      <c r="H106" s="304" t="str" cm="1">
        <f t="array" ref="H106">IFERROR(IF(_xll.BDP($D106, "RR472")="#N/A Invalid Security", "", _xll.BDP($D106, "RR472")),"")</f>
        <v/>
      </c>
      <c r="I106" s="318" t="str" cm="1">
        <f t="array" ref="I106">IFERROR(IF(_xll.BDP($D106, "IS010")="#N/A Invalid Security", "", _xll.BDP($D106, "IS010")),"")</f>
        <v/>
      </c>
      <c r="J106" s="322" t="str" cm="1">
        <f t="array" ref="J106">IFERROR(IF(_xll.BDP($D106, "RR009")="#N/A Invalid Security", "", _xll.BDP($D106, "RR009")),"")</f>
        <v/>
      </c>
      <c r="K106" s="318" t="str" cm="1">
        <f t="array" ref="K106">IFERROR(IF(_xll.BDP($D106, "IS810")="#N/A Invalid Security", "", _xll.BDP($D106, "IS810")),"")</f>
        <v/>
      </c>
      <c r="L106" s="302" t="str" cm="1">
        <f t="array" ref="L106">IFERROR(IF(_xll.BDP($D106, "RR957")="#N/A Invalid Security", "", _xll.BDP($D106, "RR957")),"")</f>
        <v/>
      </c>
      <c r="M106" s="302" t="str" cm="1">
        <f t="array" ref="M106">IFERROR(IF(_xll.BDP($D106, "RR956")="#N/A Invalid Security", "", _xll.BDP($D106, "RR956")),"")</f>
        <v/>
      </c>
      <c r="N106" s="318" t="str" cm="1">
        <f t="array" ref="N106">IFERROR(IF(_xll.BDP($D106, "RR052")="#N/A Invalid Security", "", _xll.BDP($D106, "RR052")),"")</f>
        <v/>
      </c>
      <c r="O106" s="318" t="str" cm="1">
        <f t="array" ref="O106">IFERROR(IF(_xll.BDP($D106, "BE051")="#N/A Invalid Security", "", _xll.BDP($D106, "BE051")),"")</f>
        <v/>
      </c>
    </row>
    <row r="107" spans="3:15" x14ac:dyDescent="0.25">
      <c r="D107" s="317"/>
      <c r="E107" s="317"/>
      <c r="F107" s="318"/>
      <c r="G107" s="318"/>
      <c r="H107" s="318"/>
      <c r="I107" s="318"/>
      <c r="J107" s="322"/>
      <c r="K107" s="318"/>
      <c r="L107" s="302"/>
      <c r="M107" s="302"/>
      <c r="N107" s="318"/>
      <c r="O107" s="318"/>
    </row>
    <row r="108" spans="3:15" x14ac:dyDescent="0.25">
      <c r="D108" s="317"/>
      <c r="E108" s="317"/>
      <c r="F108" s="318"/>
      <c r="G108" s="318"/>
      <c r="H108" s="318"/>
      <c r="I108" s="318"/>
      <c r="J108" s="322"/>
      <c r="K108" s="318"/>
      <c r="L108" s="318"/>
      <c r="M108" s="318"/>
      <c r="N108" s="318"/>
      <c r="O108" s="318"/>
    </row>
    <row r="109" spans="3:15" x14ac:dyDescent="0.25">
      <c r="J109" s="322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865" r:id="rId3" name="Button 1">
              <controlPr defaultSize="0" print="0" autoFill="0" autoPict="0" macro="[0]!BacktoHub">
                <anchor moveWithCells="1" sizeWithCells="1">
                  <from>
                    <xdr:col>15</xdr:col>
                    <xdr:colOff>381000</xdr:colOff>
                    <xdr:row>2</xdr:row>
                    <xdr:rowOff>104775</xdr:rowOff>
                  </from>
                  <to>
                    <xdr:col>17</xdr:col>
                    <xdr:colOff>352425</xdr:colOff>
                    <xdr:row>5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0209F8-9DC6-42B6-B515-3938455F66F2}">
  <dimension ref="A1"/>
  <sheetViews>
    <sheetView workbookViewId="0"/>
  </sheetViews>
  <sheetFormatPr defaultRowHeight="15" x14ac:dyDescent="0.25"/>
  <sheetData>
    <row r="1" spans="1:1" x14ac:dyDescent="0.25">
      <c r="A1" t="s">
        <v>378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A886CC4F08AEE14E8B6DC2FCC7C0C4E0" ma:contentTypeVersion="13" ma:contentTypeDescription="Create a new document." ma:contentTypeScope="" ma:versionID="cf02d43a2556ff116e60928d48fe940b">
  <xsd:schema xmlns:xsd="http://www.w3.org/2001/XMLSchema" xmlns:xs="http://www.w3.org/2001/XMLSchema" xmlns:p="http://schemas.microsoft.com/office/2006/metadata/properties" xmlns:ns3="6bfbe5c3-b99d-44b0-80e1-e0ef6a6abdeb" xmlns:ns4="5e05512d-0921-4682-af6d-72cfb8802db5" targetNamespace="http://schemas.microsoft.com/office/2006/metadata/properties" ma:root="true" ma:fieldsID="baef30fd88692cac8d1a909adcb7e370" ns3:_="" ns4:_="">
    <xsd:import namespace="6bfbe5c3-b99d-44b0-80e1-e0ef6a6abdeb"/>
    <xsd:import namespace="5e05512d-0921-4682-af6d-72cfb8802db5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ObjectDetectorVersions" minOccurs="0"/>
                <xsd:element ref="ns3:_activity" minOccurs="0"/>
                <xsd:element ref="ns3:MediaServiceSystem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SearchProperties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DateTake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bfbe5c3-b99d-44b0-80e1-e0ef6a6abdeb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_activity" ma:index="11" nillable="true" ma:displayName="_activity" ma:hidden="true" ma:internalName="_activity">
      <xsd:simpleType>
        <xsd:restriction base="dms:Note"/>
      </xsd:simpleType>
    </xsd:element>
    <xsd:element name="MediaServiceSystemTags" ma:index="12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SearchProperties" ma:index="16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20" nillable="true" ma:displayName="MediaServiceDateTaken" ma:hidden="true" ma:indexed="true" ma:internalName="MediaServiceDateTake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e05512d-0921-4682-af6d-72cfb8802db5" elementFormDefault="qualified">
    <xsd:import namespace="http://schemas.microsoft.com/office/2006/documentManagement/types"/>
    <xsd:import namespace="http://schemas.microsoft.com/office/infopath/2007/PartnerControls"/>
    <xsd:element name="SharedWithUsers" ma:index="17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8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9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6bfbe5c3-b99d-44b0-80e1-e0ef6a6abdeb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7D993760-0E1F-41D3-B5A4-FF3216170AB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bfbe5c3-b99d-44b0-80e1-e0ef6a6abdeb"/>
    <ds:schemaRef ds:uri="5e05512d-0921-4682-af6d-72cfb8802db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F8760ADF-2853-4372-BB69-11BB4C271F99}">
  <ds:schemaRefs>
    <ds:schemaRef ds:uri="http://purl.org/dc/dcmitype/"/>
    <ds:schemaRef ds:uri="http://schemas.microsoft.com/office/2006/metadata/properties"/>
    <ds:schemaRef ds:uri="5e05512d-0921-4682-af6d-72cfb8802db5"/>
    <ds:schemaRef ds:uri="http://purl.org/dc/elements/1.1/"/>
    <ds:schemaRef ds:uri="http://schemas.microsoft.com/office/infopath/2007/PartnerControls"/>
    <ds:schemaRef ds:uri="http://schemas.microsoft.com/office/2006/documentManagement/types"/>
    <ds:schemaRef ds:uri="http://schemas.openxmlformats.org/package/2006/metadata/core-properties"/>
    <ds:schemaRef ds:uri="6bfbe5c3-b99d-44b0-80e1-e0ef6a6abdeb"/>
    <ds:schemaRef ds:uri="http://www.w3.org/XML/1998/namespace"/>
    <ds:schemaRef ds:uri="http://purl.org/dc/terms/"/>
  </ds:schemaRefs>
</ds:datastoreItem>
</file>

<file path=customXml/itemProps3.xml><?xml version="1.0" encoding="utf-8"?>
<ds:datastoreItem xmlns:ds="http://schemas.openxmlformats.org/officeDocument/2006/customXml" ds:itemID="{42E314B5-151C-4317-984D-3F095FD911EF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24</vt:i4>
      </vt:variant>
    </vt:vector>
  </HeadingPairs>
  <TitlesOfParts>
    <vt:vector size="24" baseType="lpstr">
      <vt:lpstr>Title_Sheet</vt:lpstr>
      <vt:lpstr>Hub</vt:lpstr>
      <vt:lpstr>Dashboard</vt:lpstr>
      <vt:lpstr>3_Main_Models ---&gt;</vt:lpstr>
      <vt:lpstr>DCF</vt:lpstr>
      <vt:lpstr>LBO</vt:lpstr>
      <vt:lpstr>Merger</vt:lpstr>
      <vt:lpstr>LBO_Extras ---&gt;</vt:lpstr>
      <vt:lpstr>DCF_Synergies</vt:lpstr>
      <vt:lpstr>Main_Components ---&gt;</vt:lpstr>
      <vt:lpstr>Operating_Model</vt:lpstr>
      <vt:lpstr>WACC_Calculator</vt:lpstr>
      <vt:lpstr>D&amp;A+CAPEX</vt:lpstr>
      <vt:lpstr>Net_Working_Capital</vt:lpstr>
      <vt:lpstr>Scenario_Analysis---&gt;</vt:lpstr>
      <vt:lpstr>SC_Manager</vt:lpstr>
      <vt:lpstr>Time_Series</vt:lpstr>
      <vt:lpstr>Buildups---&gt;</vt:lpstr>
      <vt:lpstr>Revenue_Build</vt:lpstr>
      <vt:lpstr>Tester</vt:lpstr>
      <vt:lpstr>Historicals</vt:lpstr>
      <vt:lpstr>Debt_Schedule</vt:lpstr>
      <vt:lpstr>Comps---&gt;</vt:lpstr>
      <vt:lpstr>Comp_Overview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Valentino M</dc:creator>
  <cp:keywords/>
  <dc:description/>
  <cp:lastModifiedBy>Valentino Magniette-Bosseboeuf</cp:lastModifiedBy>
  <cp:revision/>
  <cp:lastPrinted>2024-04-30T17:06:00Z</cp:lastPrinted>
  <dcterms:created xsi:type="dcterms:W3CDTF">2015-06-05T18:17:20Z</dcterms:created>
  <dcterms:modified xsi:type="dcterms:W3CDTF">2024-07-20T21:19:22Z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DMCheckedOldDocProps">
    <vt:lpwstr>_DMCheckedOldDocProps</vt:lpwstr>
  </property>
  <property fmtid="{D5CDD505-2E9C-101B-9397-08002B2CF9AE}" pid="3" name="ContentTypeId">
    <vt:lpwstr>0x010100A886CC4F08AEE14E8B6DC2FCC7C0C4E0</vt:lpwstr>
  </property>
</Properties>
</file>